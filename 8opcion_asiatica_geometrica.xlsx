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/10 Semestre Primavera/Derivados Exoticos/"/>
    </mc:Choice>
  </mc:AlternateContent>
  <xr:revisionPtr revIDLastSave="32" documentId="11_CEEDB54656F6DEA756B92A08DD0F8ACE7EE2E6EC" xr6:coauthVersionLast="47" xr6:coauthVersionMax="47" xr10:uidLastSave="{9F2E9A77-5E18-495C-A36F-AC85BD78BC5B}"/>
  <bookViews>
    <workbookView xWindow="-110" yWindow="-110" windowWidth="25820" windowHeight="16220" xr2:uid="{00000000-000D-0000-FFFF-FFFF00000000}"/>
  </bookViews>
  <sheets>
    <sheet name="Geomet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I7" i="1"/>
  <c r="I6" i="1"/>
  <c r="I5" i="1"/>
  <c r="I4" i="1"/>
  <c r="I8" i="1" l="1"/>
  <c r="I12" i="1" l="1"/>
  <c r="I9" i="1"/>
  <c r="I10" i="1"/>
  <c r="I13" i="1" l="1"/>
  <c r="I15" i="1" s="1"/>
  <c r="I11" i="1"/>
  <c r="I14" i="1" s="1"/>
</calcChain>
</file>

<file path=xl/sharedStrings.xml><?xml version="1.0" encoding="utf-8"?>
<sst xmlns="http://schemas.openxmlformats.org/spreadsheetml/2006/main" count="113" uniqueCount="105">
  <si>
    <t>Valuación de opción asiática con promedio geométrico</t>
  </si>
  <si>
    <t>Dato</t>
  </si>
  <si>
    <t>Símbolo</t>
  </si>
  <si>
    <t>Valor</t>
  </si>
  <si>
    <t>Concepto</t>
  </si>
  <si>
    <t>Fórmula Excel</t>
  </si>
  <si>
    <t>Precio actual del subyacente</t>
  </si>
  <si>
    <t>S</t>
  </si>
  <si>
    <t>Plazo en años</t>
  </si>
  <si>
    <t>T</t>
  </si>
  <si>
    <t>Precio de ejercicio</t>
  </si>
  <si>
    <t>K</t>
  </si>
  <si>
    <t>Volatilidad ajustada</t>
  </si>
  <si>
    <t>σ_A</t>
  </si>
  <si>
    <t>Tasa libre de riesgo anual</t>
  </si>
  <si>
    <t>r</t>
  </si>
  <si>
    <t>Costo de acarreo ajustado</t>
  </si>
  <si>
    <t>b_A</t>
  </si>
  <si>
    <t>Costo de acarreo anual</t>
  </si>
  <si>
    <t>b</t>
  </si>
  <si>
    <t>Log-moneyness</t>
  </si>
  <si>
    <t>ln(S/K)</t>
  </si>
  <si>
    <t>Volatilidad anual</t>
  </si>
  <si>
    <t>σ</t>
  </si>
  <si>
    <t>d1</t>
  </si>
  <si>
    <t>d₁</t>
  </si>
  <si>
    <t>Plazo a vencimiento en meses</t>
  </si>
  <si>
    <t>m</t>
  </si>
  <si>
    <t>d2</t>
  </si>
  <si>
    <t>d₂</t>
  </si>
  <si>
    <t>Tipo de opción</t>
  </si>
  <si>
    <t>call/put</t>
  </si>
  <si>
    <t>N(d1)</t>
  </si>
  <si>
    <t>N(d₁)</t>
  </si>
  <si>
    <t>N(d2)</t>
  </si>
  <si>
    <t>N(d₂)</t>
  </si>
  <si>
    <t>N(-d1)</t>
  </si>
  <si>
    <t>N(-d₁)</t>
  </si>
  <si>
    <t>N(-d2)</t>
  </si>
  <si>
    <t>N(-d₂)</t>
  </si>
  <si>
    <t>Call geométrica</t>
  </si>
  <si>
    <t>c</t>
  </si>
  <si>
    <t>Put geométrica</t>
  </si>
  <si>
    <t>p</t>
  </si>
  <si>
    <t>Pasos de valuación</t>
  </si>
  <si>
    <t>Paso</t>
  </si>
  <si>
    <t>Fórmula teórica</t>
  </si>
  <si>
    <t>Celda</t>
  </si>
  <si>
    <t>Lectura</t>
  </si>
  <si>
    <t>1</t>
  </si>
  <si>
    <t>Convertir plazo</t>
  </si>
  <si>
    <t>T = meses/12</t>
  </si>
  <si>
    <t>I6</t>
  </si>
  <si>
    <t>3 meses → 0.25 años</t>
  </si>
  <si>
    <t>2</t>
  </si>
  <si>
    <t>Ajustar volatilidad</t>
  </si>
  <si>
    <t>σ_A = σ/√3</t>
  </si>
  <si>
    <t>I7</t>
  </si>
  <si>
    <t>El promedio geométrico reduce la varianza efectiva.</t>
  </si>
  <si>
    <t>3</t>
  </si>
  <si>
    <t>Ajustar costo de acarreo</t>
  </si>
  <si>
    <t>b_A = 0.5(b − σ²/6)</t>
  </si>
  <si>
    <t>I8</t>
  </si>
  <si>
    <t>Se usa el b dado en el enunciado, no r−q.</t>
  </si>
  <si>
    <t>4</t>
  </si>
  <si>
    <t>Calcular d1 y d2</t>
  </si>
  <si>
    <t>d₁ = [ln(S/K)+(b_A+σ_A²/2)T]/(σ_A√T); d₂=d₁−σ_A√T</t>
  </si>
  <si>
    <t>I10:I11</t>
  </si>
  <si>
    <t>Mide moneyness ajustada por el promedio geométrico.</t>
  </si>
  <si>
    <t>5</t>
  </si>
  <si>
    <t>Valuar put</t>
  </si>
  <si>
    <t>p = K e^{-rT}N(−d₂) − S e^{(b_A−r)T}N(−d₁)</t>
  </si>
  <si>
    <t>I17</t>
  </si>
  <si>
    <t>Con los datos del ejercicio da aproximadamente 4.6922.</t>
  </si>
  <si>
    <t>Supuestos del modelo</t>
  </si>
  <si>
    <t>Supuesto</t>
  </si>
  <si>
    <t>Detalle</t>
  </si>
  <si>
    <t>Modelo de precio</t>
  </si>
  <si>
    <t>Movimiento geométrico browniano con volatilidad constante.</t>
  </si>
  <si>
    <t>Tipo de promedio</t>
  </si>
  <si>
    <t>Promedio geométrico continuo, consistente con la fórmula de la diapositiva.</t>
  </si>
  <si>
    <t>Costo de acarreo</t>
  </si>
  <si>
    <t>El dato b = 8% se usa directamente en lugar de reconstruirse como r − q.</t>
  </si>
  <si>
    <t>Tiempo</t>
  </si>
  <si>
    <t>Todas las tasas son anuales; el plazo se transforma a años.</t>
  </si>
  <si>
    <t>Salida</t>
  </si>
  <si>
    <t>La celda I18 cambia automáticamente según C12: call o put.</t>
  </si>
  <si>
    <t>Derivación compacta</t>
  </si>
  <si>
    <t>Objeto</t>
  </si>
  <si>
    <t>Fórmula</t>
  </si>
  <si>
    <t>Interpretación</t>
  </si>
  <si>
    <t>Promedio geométrico</t>
  </si>
  <si>
    <t>G_T = exp((1/T)∫₀ᵀ ln(S_u)du)</t>
  </si>
  <si>
    <t>El logaritmo del promedio geométrico es normal bajo GBM.</t>
  </si>
  <si>
    <t>Volatilidad efectiva</t>
  </si>
  <si>
    <t>La varianza temporal promedio del Browniano da el factor 1/3.</t>
  </si>
  <si>
    <t>Costo de acarreo efectivo</t>
  </si>
  <si>
    <t>Ajusta el drift del promedio geométrico por convexidad.</t>
  </si>
  <si>
    <t>d₁ = [ln(S/K)+(b_A+σ_A²/2)T]/(σ_A√T)</t>
  </si>
  <si>
    <t>Estandariza el umbral de ejercicio bajo la lognormal ajustada.</t>
  </si>
  <si>
    <t>d₂ = d₁ − σ_A√T</t>
  </si>
  <si>
    <t>Segundo umbral normal de la fórmula tipo Black-Scholes.</t>
  </si>
  <si>
    <t>Put</t>
  </si>
  <si>
    <t>Valor presente esperado del payoff put geométrico.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</si>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</sst>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00000"/>
    <numFmt numFmtId="166" formatCode="0.0000%"/>
    <numFmt numFmtId="167" formatCode="\$#,##0.0000;[Red]\(\$#,##0.0000\);\-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FF"/>
      <name val="Carlito"/>
    </font>
    <font>
      <sz val="8"/>
      <color rgb="FF555555"/>
      <name val="Carlito"/>
    </font>
    <font>
      <i/>
      <sz val="11"/>
      <color rgb="FF444444"/>
      <name val="Carlito"/>
    </font>
    <font>
      <sz val="9"/>
      <color rgb="FF5555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10" fontId="4" fillId="4" borderId="2" xfId="0" applyNumberFormat="1" applyFont="1" applyFill="1" applyBorder="1" applyAlignment="1">
      <alignment horizontal="right" vertical="center" wrapText="1"/>
    </xf>
    <xf numFmtId="1" fontId="4" fillId="4" borderId="2" xfId="0" applyNumberFormat="1" applyFont="1" applyFill="1" applyBorder="1" applyAlignment="1">
      <alignment horizontal="right" vertical="center" wrapText="1"/>
    </xf>
    <xf numFmtId="49" fontId="4" fillId="4" borderId="3" xfId="0" applyNumberFormat="1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horizontal="right" vertical="center" wrapText="1"/>
    </xf>
    <xf numFmtId="166" fontId="0" fillId="0" borderId="2" xfId="0" applyNumberFormat="1" applyBorder="1" applyAlignment="1">
      <alignment horizontal="right" vertical="center" wrapText="1"/>
    </xf>
    <xf numFmtId="165" fontId="0" fillId="0" borderId="2" xfId="0" applyNumberFormat="1" applyBorder="1" applyAlignment="1">
      <alignment horizontal="right" vertical="center" wrapText="1"/>
    </xf>
    <xf numFmtId="167" fontId="0" fillId="0" borderId="2" xfId="0" applyNumberFormat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E12" sqref="E12"/>
    </sheetView>
  </sheetViews>
  <sheetFormatPr defaultRowHeight="14"/>
  <cols>
    <col min="1" max="1" width="22" customWidth="1"/>
    <col min="2" max="2" width="13" customWidth="1"/>
    <col min="3" max="3" width="14" customWidth="1"/>
    <col min="4" max="4" width="27" customWidth="1"/>
    <col min="5" max="5" width="12" customWidth="1"/>
    <col min="6" max="6" width="15" customWidth="1"/>
    <col min="7" max="7" width="9" customWidth="1"/>
    <col min="8" max="8" width="31" customWidth="1"/>
    <col min="9" max="9" width="16" customWidth="1"/>
  </cols>
  <sheetData>
    <row r="1" spans="1:9" ht="21.4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>
      <c r="A2" s="21"/>
      <c r="B2" s="21"/>
      <c r="C2" s="21"/>
      <c r="D2" s="21"/>
      <c r="E2" s="21"/>
      <c r="F2" s="21"/>
      <c r="G2" s="21"/>
      <c r="H2" s="21"/>
      <c r="I2" s="21"/>
    </row>
    <row r="3" spans="1:9" ht="16" customHeight="1">
      <c r="A3" s="9" t="s">
        <v>1</v>
      </c>
      <c r="B3" s="9" t="s">
        <v>2</v>
      </c>
      <c r="C3" s="9" t="s">
        <v>3</v>
      </c>
      <c r="D3" s="9"/>
      <c r="E3" s="21"/>
      <c r="F3" s="9" t="s">
        <v>4</v>
      </c>
      <c r="G3" s="9" t="s">
        <v>2</v>
      </c>
      <c r="H3" s="9" t="s">
        <v>5</v>
      </c>
      <c r="I3" s="9" t="s">
        <v>3</v>
      </c>
    </row>
    <row r="4" spans="1:9" ht="28">
      <c r="A4" s="1" t="s">
        <v>6</v>
      </c>
      <c r="B4" s="1" t="s">
        <v>7</v>
      </c>
      <c r="C4" s="4">
        <v>80</v>
      </c>
      <c r="D4" s="18"/>
      <c r="E4" s="21"/>
      <c r="F4" s="1" t="s">
        <v>8</v>
      </c>
      <c r="G4" s="1" t="s">
        <v>9</v>
      </c>
      <c r="H4" s="10" t="str">
        <f ca="1">_xlfn.FORMULATEXT(I4)</f>
        <v>=C9/12</v>
      </c>
      <c r="I4" s="11">
        <f>C9/12</f>
        <v>0.25</v>
      </c>
    </row>
    <row r="5" spans="1:9" ht="21.4" customHeight="1">
      <c r="A5" s="2" t="s">
        <v>10</v>
      </c>
      <c r="B5" s="2" t="s">
        <v>11</v>
      </c>
      <c r="C5" s="5">
        <v>85</v>
      </c>
      <c r="D5" s="19"/>
      <c r="E5" s="21"/>
      <c r="F5" s="2" t="s">
        <v>12</v>
      </c>
      <c r="G5" s="2" t="s">
        <v>13</v>
      </c>
      <c r="H5" s="10" t="str">
        <f t="shared" ref="H5:H15" ca="1" si="0">_xlfn.FORMULATEXT(I5)</f>
        <v>=C8/SQRT(3)</v>
      </c>
      <c r="I5" s="12">
        <f>C8/SQRT(3)</f>
        <v>0.11547005383792516</v>
      </c>
    </row>
    <row r="6" spans="1:9" ht="21.4" customHeight="1">
      <c r="A6" s="2" t="s">
        <v>14</v>
      </c>
      <c r="B6" s="2" t="s">
        <v>15</v>
      </c>
      <c r="C6" s="6">
        <v>0.05</v>
      </c>
      <c r="D6" s="19"/>
      <c r="E6" s="21"/>
      <c r="F6" s="2" t="s">
        <v>16</v>
      </c>
      <c r="G6" s="2" t="s">
        <v>17</v>
      </c>
      <c r="H6" s="10" t="str">
        <f t="shared" ca="1" si="0"/>
        <v>=0.5*(C7-C8^2/6)</v>
      </c>
      <c r="I6" s="12">
        <f>0.5*(C7-C8^2/6)</f>
        <v>3.6666666666666667E-2</v>
      </c>
    </row>
    <row r="7" spans="1:9" ht="21.4" customHeight="1">
      <c r="A7" s="2" t="s">
        <v>18</v>
      </c>
      <c r="B7" s="2" t="s">
        <v>19</v>
      </c>
      <c r="C7" s="6">
        <v>0.08</v>
      </c>
      <c r="D7" s="19"/>
      <c r="E7" s="21"/>
      <c r="F7" s="2" t="s">
        <v>20</v>
      </c>
      <c r="G7" s="2" t="s">
        <v>21</v>
      </c>
      <c r="H7" s="10" t="str">
        <f t="shared" ca="1" si="0"/>
        <v>=LN(C4/C5)</v>
      </c>
      <c r="I7" s="13">
        <f>LN(C4/C5)</f>
        <v>-6.0624621816434854E-2</v>
      </c>
    </row>
    <row r="8" spans="1:9" ht="21.4" customHeight="1">
      <c r="A8" s="2" t="s">
        <v>22</v>
      </c>
      <c r="B8" s="2" t="s">
        <v>23</v>
      </c>
      <c r="C8" s="6">
        <v>0.2</v>
      </c>
      <c r="D8" s="19"/>
      <c r="E8" s="21"/>
      <c r="F8" s="2" t="s">
        <v>24</v>
      </c>
      <c r="G8" s="2" t="s">
        <v>25</v>
      </c>
      <c r="H8" s="10" t="str">
        <f t="shared" ca="1" si="0"/>
        <v>=(I7+(I6+0.5*I5^2)*I4)/(I5*SQRT(I4))</v>
      </c>
      <c r="I8" s="13">
        <f>(I7+(I6+0.5*I5^2)*I4)/(I5*SQRT(I4))</f>
        <v>-0.86241041427050924</v>
      </c>
    </row>
    <row r="9" spans="1:9" ht="21.4" customHeight="1">
      <c r="A9" s="2" t="s">
        <v>26</v>
      </c>
      <c r="B9" s="2" t="s">
        <v>27</v>
      </c>
      <c r="C9" s="7">
        <v>3</v>
      </c>
      <c r="D9" s="19"/>
      <c r="E9" s="21"/>
      <c r="F9" s="2" t="s">
        <v>28</v>
      </c>
      <c r="G9" s="2" t="s">
        <v>29</v>
      </c>
      <c r="H9" s="10" t="str">
        <f t="shared" ca="1" si="0"/>
        <v>=I8-I5*SQRT(I4)</v>
      </c>
      <c r="I9" s="13">
        <f>I8-I5*SQRT(I4)</f>
        <v>-0.92014544118947184</v>
      </c>
    </row>
    <row r="10" spans="1:9" ht="21.4" customHeight="1">
      <c r="A10" s="3" t="s">
        <v>30</v>
      </c>
      <c r="B10" s="3" t="s">
        <v>31</v>
      </c>
      <c r="C10" s="8" t="s">
        <v>104</v>
      </c>
      <c r="D10" s="20"/>
      <c r="E10" s="21"/>
      <c r="F10" s="2" t="s">
        <v>32</v>
      </c>
      <c r="G10" s="2" t="s">
        <v>33</v>
      </c>
      <c r="H10" s="10" t="str">
        <f t="shared" ca="1" si="0"/>
        <v>=NORM.S.DIST(I8,TRUE)</v>
      </c>
      <c r="I10" s="13">
        <f>_xlfn.NORM.S.DIST(I8,TRUE)</f>
        <v>0.1942308558509834</v>
      </c>
    </row>
    <row r="11" spans="1:9">
      <c r="A11" s="21"/>
      <c r="B11" s="21"/>
      <c r="C11" s="21"/>
      <c r="D11" s="21"/>
      <c r="E11" s="21"/>
      <c r="F11" s="2" t="s">
        <v>34</v>
      </c>
      <c r="G11" s="2" t="s">
        <v>35</v>
      </c>
      <c r="H11" s="10" t="str">
        <f t="shared" ca="1" si="0"/>
        <v>=NORM.S.DIST(I9,TRUE)</v>
      </c>
      <c r="I11" s="13">
        <f>_xlfn.NORM.S.DIST(I9,TRUE)</f>
        <v>0.17874838036637761</v>
      </c>
    </row>
    <row r="12" spans="1:9">
      <c r="A12" s="21"/>
      <c r="B12" s="21"/>
      <c r="C12" s="21"/>
      <c r="D12" s="21"/>
      <c r="E12" s="21"/>
      <c r="F12" s="2" t="s">
        <v>36</v>
      </c>
      <c r="G12" s="2" t="s">
        <v>37</v>
      </c>
      <c r="H12" s="10" t="str">
        <f t="shared" ca="1" si="0"/>
        <v>=NORM.S.DIST(-I8,TRUE)</v>
      </c>
      <c r="I12" s="13">
        <f>_xlfn.NORM.S.DIST(-I8,TRUE)</f>
        <v>0.80576914414901657</v>
      </c>
    </row>
    <row r="13" spans="1:9">
      <c r="A13" s="21"/>
      <c r="B13" s="21"/>
      <c r="C13" s="21"/>
      <c r="D13" s="21"/>
      <c r="E13" s="21"/>
      <c r="F13" s="2" t="s">
        <v>38</v>
      </c>
      <c r="G13" s="2" t="s">
        <v>39</v>
      </c>
      <c r="H13" s="10" t="str">
        <f t="shared" ca="1" si="0"/>
        <v>=NORM.S.DIST(-I9,TRUE)</v>
      </c>
      <c r="I13" s="13">
        <f>_xlfn.NORM.S.DIST(-I9,TRUE)</f>
        <v>0.82125161963362237</v>
      </c>
    </row>
    <row r="14" spans="1:9">
      <c r="A14" s="21"/>
      <c r="B14" s="21"/>
      <c r="C14" s="21"/>
      <c r="D14" s="21"/>
      <c r="E14" s="21"/>
      <c r="F14" s="2" t="s">
        <v>40</v>
      </c>
      <c r="G14" s="2" t="s">
        <v>41</v>
      </c>
      <c r="H14" s="10" t="str">
        <f t="shared" ca="1" si="0"/>
        <v>=C4*EXP((I6-C6)*I4)*I10-C5*EXP(-C6*I4)*I11</v>
      </c>
      <c r="I14" s="14">
        <f>C4*EXP((I6-C6)*I4)*I10-C5*EXP(-C6*I4)*I11</f>
        <v>0.48188555462727933</v>
      </c>
    </row>
    <row r="15" spans="1:9">
      <c r="A15" s="21"/>
      <c r="B15" s="21"/>
      <c r="C15" s="21"/>
      <c r="D15" s="21"/>
      <c r="E15" s="21"/>
      <c r="F15" s="2" t="s">
        <v>42</v>
      </c>
      <c r="G15" s="2" t="s">
        <v>43</v>
      </c>
      <c r="H15" s="10" t="str">
        <f t="shared" ca="1" si="0"/>
        <v>=C5*EXP(-C6*I4)*I13-C4*EXP((I6-C6)*I4)*I12</v>
      </c>
      <c r="I15" s="14">
        <f>C5*EXP(-C6*I4)*I13-C4*EXP((I6-C6)*I4)*I12</f>
        <v>4.6922213122453371</v>
      </c>
    </row>
    <row r="16" spans="1:9">
      <c r="A16" s="21"/>
      <c r="B16" s="21"/>
      <c r="C16" s="21"/>
      <c r="D16" s="21"/>
      <c r="E16" s="21"/>
      <c r="F16" s="21"/>
      <c r="G16" s="21"/>
      <c r="H16" s="21"/>
      <c r="I16" s="21"/>
    </row>
    <row r="17" spans="1: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6" customHeight="1">
      <c r="A18" s="23" t="s">
        <v>44</v>
      </c>
      <c r="B18" s="23"/>
      <c r="C18" s="23"/>
      <c r="D18" s="23"/>
      <c r="E18" s="23"/>
      <c r="F18" s="23"/>
      <c r="G18" s="23"/>
      <c r="H18" s="23"/>
      <c r="I18" s="23"/>
    </row>
    <row r="19" spans="1:9" ht="16" customHeight="1">
      <c r="A19" s="9" t="s">
        <v>45</v>
      </c>
      <c r="B19" s="24" t="s">
        <v>4</v>
      </c>
      <c r="C19" s="24"/>
      <c r="D19" s="24" t="s">
        <v>46</v>
      </c>
      <c r="E19" s="24"/>
      <c r="F19" s="24"/>
      <c r="G19" s="9" t="s">
        <v>47</v>
      </c>
      <c r="H19" s="24" t="s">
        <v>48</v>
      </c>
      <c r="I19" s="24"/>
    </row>
    <row r="20" spans="1:9" ht="21.4" customHeight="1">
      <c r="A20" s="15" t="s">
        <v>49</v>
      </c>
      <c r="B20" s="25" t="s">
        <v>50</v>
      </c>
      <c r="C20" s="25"/>
      <c r="D20" s="25" t="s">
        <v>51</v>
      </c>
      <c r="E20" s="25"/>
      <c r="F20" s="25"/>
      <c r="G20" s="15" t="s">
        <v>52</v>
      </c>
      <c r="H20" s="25" t="s">
        <v>53</v>
      </c>
      <c r="I20" s="25"/>
    </row>
    <row r="21" spans="1:9" ht="21.4" customHeight="1">
      <c r="A21" s="16" t="s">
        <v>54</v>
      </c>
      <c r="B21" s="26" t="s">
        <v>55</v>
      </c>
      <c r="C21" s="26"/>
      <c r="D21" s="26" t="s">
        <v>56</v>
      </c>
      <c r="E21" s="26"/>
      <c r="F21" s="26"/>
      <c r="G21" s="16" t="s">
        <v>57</v>
      </c>
      <c r="H21" s="26" t="s">
        <v>58</v>
      </c>
      <c r="I21" s="26"/>
    </row>
    <row r="22" spans="1:9" ht="21.4" customHeight="1">
      <c r="A22" s="16" t="s">
        <v>59</v>
      </c>
      <c r="B22" s="26" t="s">
        <v>60</v>
      </c>
      <c r="C22" s="26"/>
      <c r="D22" s="26" t="s">
        <v>61</v>
      </c>
      <c r="E22" s="26"/>
      <c r="F22" s="26"/>
      <c r="G22" s="16" t="s">
        <v>62</v>
      </c>
      <c r="H22" s="26" t="s">
        <v>63</v>
      </c>
      <c r="I22" s="26"/>
    </row>
    <row r="23" spans="1:9" ht="21.4" customHeight="1">
      <c r="A23" s="16" t="s">
        <v>64</v>
      </c>
      <c r="B23" s="26" t="s">
        <v>65</v>
      </c>
      <c r="C23" s="26"/>
      <c r="D23" s="26" t="s">
        <v>66</v>
      </c>
      <c r="E23" s="26"/>
      <c r="F23" s="26"/>
      <c r="G23" s="16" t="s">
        <v>67</v>
      </c>
      <c r="H23" s="26" t="s">
        <v>68</v>
      </c>
      <c r="I23" s="26"/>
    </row>
    <row r="24" spans="1:9" ht="21.4" customHeight="1">
      <c r="A24" s="17" t="s">
        <v>69</v>
      </c>
      <c r="B24" s="27" t="s">
        <v>70</v>
      </c>
      <c r="C24" s="27"/>
      <c r="D24" s="27" t="s">
        <v>71</v>
      </c>
      <c r="E24" s="27"/>
      <c r="F24" s="27"/>
      <c r="G24" s="17" t="s">
        <v>72</v>
      </c>
      <c r="H24" s="27" t="s">
        <v>73</v>
      </c>
      <c r="I24" s="27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6" customHeight="1">
      <c r="A27" s="23" t="s">
        <v>74</v>
      </c>
      <c r="B27" s="23"/>
      <c r="C27" s="23"/>
      <c r="D27" s="23"/>
      <c r="E27" s="23"/>
      <c r="F27" s="23"/>
      <c r="G27" s="23"/>
      <c r="H27" s="23"/>
      <c r="I27" s="23"/>
    </row>
    <row r="28" spans="1:9" ht="16" customHeight="1">
      <c r="A28" s="24" t="s">
        <v>75</v>
      </c>
      <c r="B28" s="24"/>
      <c r="C28" s="24"/>
      <c r="D28" s="24" t="s">
        <v>76</v>
      </c>
      <c r="E28" s="24"/>
      <c r="F28" s="24"/>
      <c r="G28" s="24"/>
      <c r="H28" s="24"/>
      <c r="I28" s="24"/>
    </row>
    <row r="29" spans="1:9" ht="21.4" customHeight="1">
      <c r="A29" s="25" t="s">
        <v>77</v>
      </c>
      <c r="B29" s="25"/>
      <c r="C29" s="25"/>
      <c r="D29" s="25" t="s">
        <v>78</v>
      </c>
      <c r="E29" s="25"/>
      <c r="F29" s="25"/>
      <c r="G29" s="25"/>
      <c r="H29" s="25"/>
      <c r="I29" s="25"/>
    </row>
    <row r="30" spans="1:9" ht="21.4" customHeight="1">
      <c r="A30" s="26" t="s">
        <v>79</v>
      </c>
      <c r="B30" s="26"/>
      <c r="C30" s="26"/>
      <c r="D30" s="26" t="s">
        <v>80</v>
      </c>
      <c r="E30" s="26"/>
      <c r="F30" s="26"/>
      <c r="G30" s="26"/>
      <c r="H30" s="26"/>
      <c r="I30" s="26"/>
    </row>
    <row r="31" spans="1:9" ht="21.4" customHeight="1">
      <c r="A31" s="26" t="s">
        <v>81</v>
      </c>
      <c r="B31" s="26"/>
      <c r="C31" s="26"/>
      <c r="D31" s="26" t="s">
        <v>82</v>
      </c>
      <c r="E31" s="26"/>
      <c r="F31" s="26"/>
      <c r="G31" s="26"/>
      <c r="H31" s="26"/>
      <c r="I31" s="26"/>
    </row>
    <row r="32" spans="1:9" ht="21.4" customHeight="1">
      <c r="A32" s="26" t="s">
        <v>83</v>
      </c>
      <c r="B32" s="26"/>
      <c r="C32" s="26"/>
      <c r="D32" s="26" t="s">
        <v>84</v>
      </c>
      <c r="E32" s="26"/>
      <c r="F32" s="26"/>
      <c r="G32" s="26"/>
      <c r="H32" s="26"/>
      <c r="I32" s="26"/>
    </row>
    <row r="33" spans="1:9" ht="21.4" customHeight="1">
      <c r="A33" s="27" t="s">
        <v>85</v>
      </c>
      <c r="B33" s="27"/>
      <c r="C33" s="27"/>
      <c r="D33" s="27" t="s">
        <v>86</v>
      </c>
      <c r="E33" s="27"/>
      <c r="F33" s="27"/>
      <c r="G33" s="27"/>
      <c r="H33" s="27"/>
      <c r="I33" s="27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6" customHeight="1">
      <c r="A36" s="23" t="s">
        <v>87</v>
      </c>
      <c r="B36" s="23"/>
      <c r="C36" s="23"/>
      <c r="D36" s="23"/>
      <c r="E36" s="23"/>
      <c r="F36" s="23"/>
      <c r="G36" s="23"/>
      <c r="H36" s="23"/>
      <c r="I36" s="23"/>
    </row>
    <row r="37" spans="1:9" ht="16" customHeight="1">
      <c r="A37" s="24" t="s">
        <v>88</v>
      </c>
      <c r="B37" s="24"/>
      <c r="C37" s="24" t="s">
        <v>89</v>
      </c>
      <c r="D37" s="24"/>
      <c r="E37" s="24"/>
      <c r="F37" s="24" t="s">
        <v>90</v>
      </c>
      <c r="G37" s="24"/>
      <c r="H37" s="24"/>
      <c r="I37" s="24"/>
    </row>
    <row r="38" spans="1:9" ht="21.4" customHeight="1">
      <c r="A38" s="25" t="s">
        <v>91</v>
      </c>
      <c r="B38" s="25"/>
      <c r="C38" s="28" t="s">
        <v>92</v>
      </c>
      <c r="D38" s="28"/>
      <c r="E38" s="28"/>
      <c r="F38" s="25" t="s">
        <v>93</v>
      </c>
      <c r="G38" s="25"/>
      <c r="H38" s="25"/>
      <c r="I38" s="25"/>
    </row>
    <row r="39" spans="1:9" ht="21.4" customHeight="1">
      <c r="A39" s="26" t="s">
        <v>94</v>
      </c>
      <c r="B39" s="26"/>
      <c r="C39" s="29" t="s">
        <v>56</v>
      </c>
      <c r="D39" s="29"/>
      <c r="E39" s="29"/>
      <c r="F39" s="26" t="s">
        <v>95</v>
      </c>
      <c r="G39" s="26"/>
      <c r="H39" s="26"/>
      <c r="I39" s="26"/>
    </row>
    <row r="40" spans="1:9" ht="21.4" customHeight="1">
      <c r="A40" s="26" t="s">
        <v>96</v>
      </c>
      <c r="B40" s="26"/>
      <c r="C40" s="29" t="s">
        <v>61</v>
      </c>
      <c r="D40" s="29"/>
      <c r="E40" s="29"/>
      <c r="F40" s="26" t="s">
        <v>97</v>
      </c>
      <c r="G40" s="26"/>
      <c r="H40" s="26"/>
      <c r="I40" s="26"/>
    </row>
    <row r="41" spans="1:9" ht="21.4" customHeight="1">
      <c r="A41" s="26" t="s">
        <v>24</v>
      </c>
      <c r="B41" s="26"/>
      <c r="C41" s="29" t="s">
        <v>98</v>
      </c>
      <c r="D41" s="29"/>
      <c r="E41" s="29"/>
      <c r="F41" s="26" t="s">
        <v>99</v>
      </c>
      <c r="G41" s="26"/>
      <c r="H41" s="26"/>
      <c r="I41" s="26"/>
    </row>
    <row r="42" spans="1:9" ht="21.4" customHeight="1">
      <c r="A42" s="26" t="s">
        <v>28</v>
      </c>
      <c r="B42" s="26"/>
      <c r="C42" s="29" t="s">
        <v>100</v>
      </c>
      <c r="D42" s="29"/>
      <c r="E42" s="29"/>
      <c r="F42" s="26" t="s">
        <v>101</v>
      </c>
      <c r="G42" s="26"/>
      <c r="H42" s="26"/>
      <c r="I42" s="26"/>
    </row>
    <row r="43" spans="1:9" ht="21.4" customHeight="1">
      <c r="A43" s="27" t="s">
        <v>102</v>
      </c>
      <c r="B43" s="27"/>
      <c r="C43" s="30" t="s">
        <v>71</v>
      </c>
      <c r="D43" s="30"/>
      <c r="E43" s="30"/>
      <c r="F43" s="27" t="s">
        <v>103</v>
      </c>
      <c r="G43" s="27"/>
      <c r="H43" s="27"/>
      <c r="I43" s="27"/>
    </row>
  </sheetData>
  <mergeCells count="55">
    <mergeCell ref="A42:B42"/>
    <mergeCell ref="C42:E42"/>
    <mergeCell ref="F42:I42"/>
    <mergeCell ref="A43:B43"/>
    <mergeCell ref="C43:E43"/>
    <mergeCell ref="F43:I43"/>
    <mergeCell ref="A40:B40"/>
    <mergeCell ref="C40:E40"/>
    <mergeCell ref="F40:I40"/>
    <mergeCell ref="A41:B41"/>
    <mergeCell ref="C41:E41"/>
    <mergeCell ref="F41:I41"/>
    <mergeCell ref="A38:B38"/>
    <mergeCell ref="C38:E38"/>
    <mergeCell ref="F38:I38"/>
    <mergeCell ref="A39:B39"/>
    <mergeCell ref="C39:E39"/>
    <mergeCell ref="F39:I39"/>
    <mergeCell ref="A33:C33"/>
    <mergeCell ref="D33:I33"/>
    <mergeCell ref="A36:I36"/>
    <mergeCell ref="A37:B37"/>
    <mergeCell ref="C37:E37"/>
    <mergeCell ref="F37:I37"/>
    <mergeCell ref="A30:C30"/>
    <mergeCell ref="D30:I30"/>
    <mergeCell ref="A31:C31"/>
    <mergeCell ref="D31:I31"/>
    <mergeCell ref="A32:C32"/>
    <mergeCell ref="D32:I32"/>
    <mergeCell ref="A27:I27"/>
    <mergeCell ref="A28:C28"/>
    <mergeCell ref="D28:I28"/>
    <mergeCell ref="A29:C29"/>
    <mergeCell ref="D29:I29"/>
    <mergeCell ref="B23:C23"/>
    <mergeCell ref="D23:F23"/>
    <mergeCell ref="H23:I23"/>
    <mergeCell ref="B24:C24"/>
    <mergeCell ref="D24:F24"/>
    <mergeCell ref="H24:I24"/>
    <mergeCell ref="B21:C21"/>
    <mergeCell ref="D21:F21"/>
    <mergeCell ref="H21:I21"/>
    <mergeCell ref="B22:C22"/>
    <mergeCell ref="D22:F22"/>
    <mergeCell ref="H22:I22"/>
    <mergeCell ref="B19:C19"/>
    <mergeCell ref="D19:F19"/>
    <mergeCell ref="H19:I19"/>
    <mergeCell ref="B20:C20"/>
    <mergeCell ref="D20:F20"/>
    <mergeCell ref="H20:I20"/>
    <mergeCell ref="A1:I1"/>
    <mergeCell ref="A18:I18"/>
  </mergeCells>
  <dataValidations count="1">
    <dataValidation type="list" sqref="C10" xr:uid="{00000000-0002-0000-0000-000000000000}">
      <formula1>"call,put"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Heriberto Espino Montelongo</cp:lastModifiedBy>
  <dcterms:modified xsi:type="dcterms:W3CDTF">2026-05-15T03:32:23Z</dcterms:modified>
</cp:coreProperties>
</file>