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inliveudlap.sharepoint.com/teams/LAT4092TemasSelectos2DerivadosExticos/Shared Documents/General/"/>
    </mc:Choice>
  </mc:AlternateContent>
  <xr:revisionPtr revIDLastSave="23" documentId="13_ncr:1_{8173EC06-E26D-40F8-A2BA-C83C3322B21B}" xr6:coauthVersionLast="47" xr6:coauthVersionMax="47" xr10:uidLastSave="{8F60FC78-BE7E-344A-AC57-9691EBCB9D20}"/>
  <bookViews>
    <workbookView xWindow="0" yWindow="500" windowWidth="28800" windowHeight="15880" tabRatio="783" firstSheet="17" activeTab="17" xr2:uid="{00000000-000D-0000-FFFF-FFFF00000000}"/>
  </bookViews>
  <sheets>
    <sheet name="Índice" sheetId="10" r:id="rId1"/>
    <sheet name="Conversión de tasas" sheetId="3" r:id="rId2"/>
    <sheet name="Valor Futuro" sheetId="1" r:id="rId3"/>
    <sheet name="Valor Presente" sheetId="2" r:id="rId4"/>
    <sheet name="Tasa de rendimiento anual" sheetId="4" r:id="rId5"/>
    <sheet name="Número de periodos" sheetId="5" r:id="rId6"/>
    <sheet name="VF Rentas Periódicas" sheetId="7" r:id="rId7"/>
    <sheet name="VP Rentas Periódicas" sheetId="6" r:id="rId8"/>
    <sheet name="Tablas de Amortización" sheetId="8" r:id="rId9"/>
    <sheet name="VF Renta creciente geométri" sheetId="11" r:id="rId10"/>
    <sheet name="VP Renta creciente geométrica" sheetId="9" r:id="rId11"/>
    <sheet name="Val de Bonos" sheetId="12" r:id="rId12"/>
    <sheet name="Determinación Yield" sheetId="13" r:id="rId13"/>
    <sheet name="Val de Acciones Dado R, g" sheetId="14" r:id="rId14"/>
    <sheet name="Val de Acciones Múltiplos" sheetId="16" r:id="rId15"/>
    <sheet name="Acciones Rend Requerido" sheetId="15" r:id="rId16"/>
    <sheet name="Forward" sheetId="19" r:id="rId17"/>
    <sheet name="Opciones" sheetId="20" r:id="rId18"/>
    <sheet name="Anexo" sheetId="17" r:id="rId19"/>
  </sheets>
  <definedNames>
    <definedName name="solver_adj" localSheetId="12" hidden="1">'Determinación Yield'!$C$12</definedName>
    <definedName name="solver_cvg" localSheetId="12" hidden="1">0.0001</definedName>
    <definedName name="solver_drv" localSheetId="12" hidden="1">1</definedName>
    <definedName name="solver_eng" localSheetId="12" hidden="1">3</definedName>
    <definedName name="solver_est" localSheetId="12" hidden="1">1</definedName>
    <definedName name="solver_itr" localSheetId="12" hidden="1">2147483647</definedName>
    <definedName name="solver_lhs1" localSheetId="12" hidden="1">'Determinación Yield'!$C$12</definedName>
    <definedName name="solver_mip" localSheetId="12" hidden="1">2147483647</definedName>
    <definedName name="solver_mni" localSheetId="12" hidden="1">30</definedName>
    <definedName name="solver_mrt" localSheetId="12" hidden="1">0.075</definedName>
    <definedName name="solver_msl" localSheetId="12" hidden="1">2</definedName>
    <definedName name="solver_neg" localSheetId="12" hidden="1">2</definedName>
    <definedName name="solver_nod" localSheetId="12" hidden="1">2147483647</definedName>
    <definedName name="solver_num" localSheetId="12" hidden="1">1</definedName>
    <definedName name="solver_nwt" localSheetId="12" hidden="1">1</definedName>
    <definedName name="solver_opt" localSheetId="12" hidden="1">'Determinación Yield'!$H$12</definedName>
    <definedName name="solver_pre" localSheetId="12" hidden="1">0.000001</definedName>
    <definedName name="solver_rbv" localSheetId="12" hidden="1">1</definedName>
    <definedName name="solver_rel1" localSheetId="12" hidden="1">3</definedName>
    <definedName name="solver_rhs1" localSheetId="12" hidden="1">0.0000001</definedName>
    <definedName name="solver_rlx" localSheetId="12" hidden="1">2</definedName>
    <definedName name="solver_rsd" localSheetId="12" hidden="1">0</definedName>
    <definedName name="solver_scl" localSheetId="12" hidden="1">1</definedName>
    <definedName name="solver_sho" localSheetId="12" hidden="1">2</definedName>
    <definedName name="solver_ssz" localSheetId="12" hidden="1">100</definedName>
    <definedName name="solver_tim" localSheetId="12" hidden="1">2147483647</definedName>
    <definedName name="solver_tol" localSheetId="12" hidden="1">0.01</definedName>
    <definedName name="solver_typ" localSheetId="12" hidden="1">3</definedName>
    <definedName name="solver_val" localSheetId="12" hidden="1">95</definedName>
    <definedName name="solver_ver" localSheetId="12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3" l="1"/>
  <c r="C68" i="20"/>
  <c r="C11" i="4"/>
  <c r="K24" i="19"/>
  <c r="K22" i="19"/>
  <c r="N21" i="19"/>
  <c r="C22" i="19"/>
  <c r="C97" i="20"/>
  <c r="C101" i="20"/>
  <c r="C71" i="20"/>
  <c r="C40" i="20"/>
  <c r="C42" i="20"/>
  <c r="N74" i="19"/>
  <c r="F74" i="19"/>
  <c r="N62" i="19"/>
  <c r="F62" i="19"/>
  <c r="F21" i="19"/>
  <c r="N49" i="19"/>
  <c r="F49" i="19"/>
  <c r="N35" i="19"/>
  <c r="F35" i="19"/>
  <c r="N8" i="19"/>
  <c r="F8" i="19"/>
  <c r="C67" i="7"/>
  <c r="C69" i="7"/>
  <c r="C79" i="6"/>
  <c r="C81" i="6"/>
  <c r="C49" i="7"/>
  <c r="C46" i="7"/>
  <c r="C44" i="7"/>
  <c r="C55" i="6"/>
  <c r="C60" i="6"/>
  <c r="C57" i="6"/>
  <c r="C98" i="20"/>
  <c r="C99" i="20"/>
  <c r="C73" i="20"/>
  <c r="C72" i="20"/>
  <c r="C74" i="20"/>
  <c r="C76" i="20"/>
  <c r="C45" i="20"/>
  <c r="C19" i="20"/>
  <c r="C20" i="20" s="1"/>
  <c r="C22" i="20" s="1"/>
  <c r="C24" i="20" s="1"/>
  <c r="C47" i="20"/>
  <c r="C46" i="20"/>
  <c r="C48" i="20"/>
  <c r="C50" i="20"/>
  <c r="H43" i="7"/>
  <c r="C51" i="7"/>
  <c r="H42" i="7"/>
  <c r="H63" i="7"/>
  <c r="H75" i="6"/>
  <c r="H54" i="6"/>
  <c r="C62" i="6"/>
  <c r="H53" i="6"/>
  <c r="L19" i="1"/>
  <c r="C19" i="1"/>
  <c r="H23" i="3"/>
  <c r="H38" i="20"/>
  <c r="C102" i="20"/>
  <c r="K90" i="20"/>
  <c r="C100" i="20"/>
  <c r="H90" i="20"/>
  <c r="H64" i="20"/>
  <c r="C75" i="20"/>
  <c r="K64" i="20"/>
  <c r="C49" i="20"/>
  <c r="K38" i="20"/>
  <c r="H31" i="2"/>
  <c r="H18" i="3"/>
  <c r="H29" i="1"/>
  <c r="H19" i="5"/>
  <c r="C19" i="5"/>
  <c r="C26" i="6"/>
  <c r="H23" i="6"/>
  <c r="C28" i="7"/>
  <c r="H25" i="7"/>
  <c r="C30" i="7"/>
  <c r="H24" i="7"/>
  <c r="C28" i="6"/>
  <c r="H22" i="6"/>
  <c r="C27" i="16"/>
  <c r="H8" i="15"/>
  <c r="C40" i="14"/>
  <c r="C41" i="14"/>
  <c r="D18" i="13"/>
  <c r="D40" i="14"/>
  <c r="D41" i="14"/>
  <c r="C42" i="14"/>
  <c r="H26" i="16"/>
  <c r="H7" i="16"/>
  <c r="I57" i="14"/>
  <c r="I56" i="14"/>
  <c r="H21" i="14"/>
  <c r="H22" i="14"/>
  <c r="H8" i="14"/>
  <c r="D42" i="14"/>
  <c r="C43" i="14"/>
  <c r="C15" i="12"/>
  <c r="D43" i="14"/>
  <c r="D50" i="14"/>
  <c r="H35" i="14"/>
  <c r="H36" i="14"/>
  <c r="H37" i="14"/>
  <c r="H16" i="13"/>
  <c r="C12" i="12"/>
  <c r="C13" i="13"/>
  <c r="C16" i="13"/>
  <c r="C22" i="13"/>
  <c r="H10" i="13"/>
  <c r="H15" i="13"/>
  <c r="H34" i="14"/>
  <c r="C21" i="13"/>
  <c r="H9" i="13"/>
  <c r="H12" i="13"/>
  <c r="C9" i="12"/>
  <c r="H13" i="12"/>
  <c r="H12" i="12"/>
  <c r="C20" i="12"/>
  <c r="H9" i="12"/>
  <c r="C19" i="12"/>
  <c r="H8" i="12"/>
  <c r="H11" i="12"/>
  <c r="H9" i="5"/>
  <c r="H8" i="5"/>
  <c r="H9" i="4"/>
  <c r="H8" i="2"/>
  <c r="H7" i="2"/>
  <c r="H14" i="3"/>
  <c r="H10" i="3"/>
  <c r="H8" i="1"/>
  <c r="C14" i="11"/>
  <c r="C12" i="11"/>
  <c r="C16" i="11"/>
  <c r="H8" i="11"/>
  <c r="K8" i="5"/>
  <c r="L8" i="5"/>
  <c r="C13" i="9"/>
  <c r="C15" i="9"/>
  <c r="C11" i="9"/>
  <c r="H9" i="8"/>
  <c r="H10" i="8"/>
  <c r="C19" i="8"/>
  <c r="C10" i="8"/>
  <c r="C12" i="8"/>
  <c r="C39" i="6"/>
  <c r="C12" i="7"/>
  <c r="H9" i="7"/>
  <c r="C12" i="6"/>
  <c r="H9" i="6"/>
  <c r="D47" i="3"/>
  <c r="D43" i="3"/>
  <c r="D42" i="3"/>
  <c r="D41" i="3"/>
  <c r="D40" i="3"/>
  <c r="D39" i="3"/>
  <c r="D38" i="3"/>
  <c r="C44" i="3"/>
  <c r="D44" i="3"/>
  <c r="C37" i="3"/>
  <c r="D37" i="3"/>
  <c r="C36" i="3"/>
  <c r="D36" i="3"/>
  <c r="H9" i="3"/>
  <c r="D19" i="8"/>
  <c r="M8" i="5"/>
  <c r="N8" i="5"/>
  <c r="H37" i="6"/>
  <c r="C41" i="6"/>
  <c r="H36" i="6"/>
  <c r="H12" i="8"/>
  <c r="C14" i="8"/>
  <c r="H11" i="8"/>
  <c r="C14" i="7"/>
  <c r="H8" i="7"/>
  <c r="C17" i="9"/>
  <c r="H9" i="9"/>
  <c r="H12" i="9"/>
  <c r="C14" i="6"/>
  <c r="H8" i="6"/>
  <c r="C45" i="3"/>
  <c r="C22" i="2"/>
  <c r="H7" i="1"/>
  <c r="C21" i="1"/>
  <c r="O8" i="5"/>
  <c r="P8" i="5"/>
  <c r="H19" i="2"/>
  <c r="H18" i="2"/>
  <c r="E19" i="8"/>
  <c r="H18" i="1"/>
  <c r="H21" i="1"/>
  <c r="H17" i="1"/>
  <c r="C46" i="3"/>
  <c r="D46" i="3"/>
  <c r="D45" i="3"/>
  <c r="Q8" i="5"/>
  <c r="R8" i="5"/>
  <c r="F19" i="8"/>
  <c r="C20" i="8"/>
  <c r="S8" i="5"/>
  <c r="T8" i="5"/>
  <c r="U8" i="5"/>
  <c r="D20" i="8"/>
  <c r="E20" i="8"/>
  <c r="F20" i="8"/>
  <c r="C21" i="8"/>
  <c r="D21" i="8"/>
  <c r="E21" i="8"/>
  <c r="F21" i="8"/>
  <c r="C22" i="8"/>
  <c r="D22" i="8"/>
  <c r="E22" i="8"/>
  <c r="F22" i="8"/>
  <c r="C23" i="8"/>
  <c r="D23" i="8"/>
  <c r="E23" i="8"/>
  <c r="F23" i="8"/>
  <c r="C24" i="8"/>
  <c r="D24" i="8"/>
  <c r="E24" i="8"/>
  <c r="F24" i="8"/>
  <c r="C25" i="8"/>
  <c r="D25" i="8"/>
  <c r="E25" i="8"/>
  <c r="F25" i="8"/>
  <c r="C26" i="8"/>
  <c r="D26" i="8"/>
  <c r="E26" i="8"/>
  <c r="F26" i="8"/>
  <c r="C27" i="8"/>
  <c r="D27" i="8"/>
  <c r="E27" i="8"/>
  <c r="F27" i="8"/>
  <c r="C28" i="8"/>
  <c r="D28" i="8"/>
  <c r="E28" i="8"/>
  <c r="F28" i="8"/>
  <c r="C29" i="8"/>
  <c r="D29" i="8"/>
  <c r="E29" i="8"/>
  <c r="F29" i="8"/>
  <c r="C30" i="8"/>
  <c r="D30" i="8"/>
  <c r="E30" i="8"/>
  <c r="F30" i="8"/>
  <c r="C31" i="8"/>
  <c r="D31" i="8"/>
  <c r="E31" i="8"/>
  <c r="F31" i="8"/>
  <c r="C32" i="8"/>
  <c r="D32" i="8"/>
  <c r="E32" i="8"/>
  <c r="F32" i="8"/>
  <c r="C33" i="8"/>
  <c r="D33" i="8"/>
  <c r="E33" i="8"/>
  <c r="F33" i="8"/>
  <c r="C34" i="8"/>
  <c r="D34" i="8"/>
  <c r="E34" i="8"/>
  <c r="F34" i="8"/>
  <c r="C35" i="8"/>
  <c r="D35" i="8"/>
  <c r="E35" i="8"/>
  <c r="F35" i="8"/>
  <c r="C36" i="8"/>
  <c r="D36" i="8"/>
  <c r="E36" i="8"/>
  <c r="F36" i="8"/>
  <c r="C37" i="8"/>
  <c r="D37" i="8"/>
  <c r="E37" i="8"/>
  <c r="F37" i="8"/>
  <c r="C38" i="8"/>
  <c r="D38" i="8"/>
  <c r="E38" i="8"/>
  <c r="F38" i="8"/>
  <c r="C39" i="8"/>
  <c r="D39" i="8"/>
  <c r="E39" i="8"/>
  <c r="F39" i="8"/>
  <c r="C40" i="8"/>
  <c r="D40" i="8"/>
  <c r="E40" i="8"/>
  <c r="F40" i="8"/>
  <c r="C41" i="8"/>
  <c r="D41" i="8"/>
  <c r="E41" i="8"/>
  <c r="F41" i="8"/>
  <c r="C42" i="8"/>
  <c r="D42" i="8"/>
  <c r="E42" i="8"/>
  <c r="F42" i="8"/>
  <c r="C43" i="8"/>
  <c r="D43" i="8"/>
  <c r="E43" i="8"/>
  <c r="F43" i="8"/>
  <c r="C44" i="8"/>
  <c r="D44" i="8"/>
  <c r="E44" i="8"/>
  <c r="F44" i="8"/>
  <c r="C45" i="8"/>
  <c r="D45" i="8"/>
  <c r="E45" i="8"/>
  <c r="F45" i="8"/>
  <c r="C46" i="8"/>
  <c r="D46" i="8"/>
  <c r="E46" i="8"/>
  <c r="F46" i="8"/>
  <c r="C47" i="8"/>
  <c r="D47" i="8"/>
  <c r="E47" i="8"/>
  <c r="F47" i="8"/>
  <c r="C48" i="8"/>
  <c r="D48" i="8"/>
  <c r="E48" i="8"/>
  <c r="F48" i="8"/>
  <c r="C49" i="8"/>
  <c r="D49" i="8"/>
  <c r="E49" i="8"/>
  <c r="F49" i="8"/>
  <c r="C50" i="8"/>
  <c r="D50" i="8"/>
  <c r="E50" i="8"/>
  <c r="F50" i="8"/>
  <c r="C51" i="8"/>
  <c r="D51" i="8"/>
  <c r="E51" i="8"/>
  <c r="F51" i="8"/>
  <c r="C52" i="8"/>
  <c r="D52" i="8"/>
  <c r="E52" i="8"/>
  <c r="F52" i="8"/>
  <c r="C53" i="8"/>
  <c r="D53" i="8"/>
  <c r="E53" i="8"/>
  <c r="F53" i="8"/>
  <c r="C54" i="8"/>
  <c r="D54" i="8"/>
  <c r="E54" i="8"/>
  <c r="F54" i="8"/>
  <c r="C55" i="8"/>
  <c r="D55" i="8"/>
  <c r="E55" i="8"/>
  <c r="F55" i="8"/>
  <c r="C56" i="8"/>
  <c r="D56" i="8"/>
  <c r="E56" i="8"/>
  <c r="F56" i="8"/>
  <c r="C57" i="8"/>
  <c r="D57" i="8"/>
  <c r="E57" i="8"/>
  <c r="F57" i="8"/>
  <c r="C58" i="8"/>
  <c r="D58" i="8"/>
  <c r="E58" i="8"/>
  <c r="F58" i="8"/>
  <c r="C59" i="8"/>
  <c r="D59" i="8"/>
  <c r="E59" i="8"/>
  <c r="F59" i="8"/>
  <c r="C60" i="8"/>
  <c r="D60" i="8"/>
  <c r="E60" i="8"/>
  <c r="F60" i="8"/>
  <c r="C61" i="8"/>
  <c r="D61" i="8"/>
  <c r="E61" i="8"/>
  <c r="F61" i="8"/>
  <c r="C62" i="8"/>
  <c r="D62" i="8"/>
  <c r="E62" i="8"/>
  <c r="F62" i="8"/>
  <c r="C63" i="8"/>
  <c r="D63" i="8"/>
  <c r="E63" i="8"/>
  <c r="F63" i="8"/>
  <c r="C64" i="8"/>
  <c r="D64" i="8"/>
  <c r="E64" i="8"/>
  <c r="F64" i="8"/>
  <c r="C65" i="8"/>
  <c r="D65" i="8"/>
  <c r="E65" i="8"/>
  <c r="F65" i="8"/>
  <c r="C66" i="8"/>
  <c r="D66" i="8"/>
  <c r="E66" i="8"/>
  <c r="F66" i="8"/>
  <c r="C67" i="8"/>
  <c r="D67" i="8"/>
  <c r="E67" i="8"/>
  <c r="F67" i="8"/>
  <c r="C68" i="8"/>
  <c r="D68" i="8"/>
  <c r="E68" i="8"/>
  <c r="F68" i="8"/>
  <c r="C69" i="8"/>
  <c r="D69" i="8"/>
  <c r="E69" i="8"/>
  <c r="F69" i="8"/>
  <c r="C70" i="8"/>
  <c r="D70" i="8"/>
  <c r="E70" i="8"/>
  <c r="F70" i="8"/>
  <c r="C71" i="8"/>
  <c r="D71" i="8"/>
  <c r="E71" i="8"/>
  <c r="F71" i="8"/>
  <c r="C72" i="8"/>
  <c r="D72" i="8"/>
  <c r="E72" i="8"/>
  <c r="F72" i="8"/>
  <c r="C73" i="8"/>
  <c r="D73" i="8"/>
  <c r="E73" i="8"/>
  <c r="F73" i="8"/>
  <c r="C74" i="8"/>
  <c r="D74" i="8"/>
  <c r="E74" i="8"/>
  <c r="F74" i="8"/>
  <c r="C75" i="8"/>
  <c r="D75" i="8"/>
  <c r="E75" i="8"/>
  <c r="F75" i="8"/>
  <c r="C76" i="8"/>
  <c r="D76" i="8"/>
  <c r="E76" i="8"/>
  <c r="F76" i="8"/>
  <c r="C77" i="8"/>
  <c r="D77" i="8"/>
  <c r="E77" i="8"/>
  <c r="F77" i="8"/>
  <c r="C78" i="8"/>
  <c r="D78" i="8"/>
  <c r="E78" i="8"/>
  <c r="D16" i="8"/>
  <c r="F78" i="8"/>
  <c r="E16" i="8"/>
  <c r="I9" i="5"/>
  <c r="D20" i="20"/>
  <c r="D23" i="20"/>
  <c r="I53" i="6"/>
  <c r="I24" i="7"/>
  <c r="I42" i="7"/>
  <c r="D24" i="20"/>
  <c r="I8" i="11"/>
  <c r="D81" i="6"/>
  <c r="I19" i="2"/>
  <c r="I54" i="6"/>
  <c r="D62" i="6"/>
  <c r="D14" i="6"/>
  <c r="D14" i="8"/>
  <c r="I8" i="2"/>
  <c r="D69" i="7"/>
  <c r="D16" i="11"/>
  <c r="I36" i="6"/>
  <c r="D51" i="7"/>
  <c r="I8" i="14"/>
  <c r="I8" i="5"/>
  <c r="I10" i="3"/>
  <c r="I14" i="3"/>
  <c r="I63" i="7"/>
  <c r="I9" i="4"/>
  <c r="I9" i="3"/>
  <c r="I11" i="12"/>
  <c r="I15" i="13"/>
  <c r="D19" i="20"/>
  <c r="D17" i="9"/>
  <c r="I9" i="9"/>
  <c r="I36" i="14"/>
  <c r="I75" i="6"/>
  <c r="I8" i="7"/>
  <c r="I18" i="3"/>
  <c r="D22" i="20"/>
  <c r="I8" i="6"/>
  <c r="D21" i="20"/>
  <c r="I18" i="1"/>
  <c r="I12" i="8"/>
  <c r="I37" i="14"/>
  <c r="I23" i="3"/>
  <c r="I25" i="7"/>
  <c r="I12" i="12"/>
  <c r="I7" i="16"/>
  <c r="D19" i="12"/>
  <c r="I7" i="1"/>
  <c r="I11" i="8"/>
  <c r="I18" i="2"/>
  <c r="I29" i="1"/>
  <c r="I22" i="14"/>
  <c r="I43" i="7"/>
  <c r="I21" i="14"/>
  <c r="D21" i="13"/>
  <c r="I34" i="14"/>
  <c r="I37" i="6"/>
  <c r="I8" i="15"/>
  <c r="I22" i="6"/>
  <c r="I23" i="6"/>
  <c r="I26" i="16"/>
  <c r="D20" i="12"/>
  <c r="D41" i="6"/>
  <c r="I31" i="2"/>
  <c r="I35" i="14"/>
  <c r="J56" i="14"/>
  <c r="I17" i="1"/>
  <c r="I8" i="1"/>
  <c r="I7" i="2"/>
  <c r="J57" i="14"/>
  <c r="I9" i="6"/>
  <c r="I9" i="7"/>
  <c r="D22" i="13"/>
  <c r="C21" i="20" l="1"/>
  <c r="H13" i="20" l="1"/>
  <c r="C23" i="20"/>
  <c r="K13" i="20" s="1"/>
</calcChain>
</file>

<file path=xl/sharedStrings.xml><?xml version="1.0" encoding="utf-8"?>
<sst xmlns="http://schemas.openxmlformats.org/spreadsheetml/2006/main" count="568" uniqueCount="222">
  <si>
    <t>El valor del dinero en el tiempo y valuación de flujos de efectivo</t>
  </si>
  <si>
    <t>Índice</t>
  </si>
  <si>
    <t>Matemáticas financieras</t>
  </si>
  <si>
    <t>Conversión de tasas</t>
  </si>
  <si>
    <t>Valor Futuro de una inversión inicial</t>
  </si>
  <si>
    <t>Valor Presente</t>
  </si>
  <si>
    <t>Determinación de la tasa de rendimiento o de la tasa de crecimiento geométrico</t>
  </si>
  <si>
    <t>Número de periodos</t>
  </si>
  <si>
    <t>Valor futuro de rentas constantes periódicas</t>
  </si>
  <si>
    <t>Valor presente de rentas constantes periódicas</t>
  </si>
  <si>
    <t>Tablas de amortización</t>
  </si>
  <si>
    <t>Valor futuro de rentas crecientes geométricas</t>
  </si>
  <si>
    <t xml:space="preserve">Valor presente de rentas crecientes geométricas </t>
  </si>
  <si>
    <t>Valuación de bonos</t>
  </si>
  <si>
    <t>Determinación del Yield to maturity</t>
  </si>
  <si>
    <t>Valuación de acciones dado R y g</t>
  </si>
  <si>
    <t>Valuación de acciones por Múltiplos</t>
  </si>
  <si>
    <t>Acciones: rendimiento requerido</t>
  </si>
  <si>
    <t>Valuación de instrumentos financieros derivados</t>
  </si>
  <si>
    <t>Precios Forward</t>
  </si>
  <si>
    <t>Precio de opciones (Modelo Binomial)</t>
  </si>
  <si>
    <t>Precios de opciones (B-S-M)</t>
  </si>
  <si>
    <t>Anexo. Formulario</t>
  </si>
  <si>
    <t>by Francisco García Castillo</t>
  </si>
  <si>
    <t>La triple igualdad de tasas de interés</t>
  </si>
  <si>
    <t>Regreso al Índice</t>
  </si>
  <si>
    <r>
      <t>De tasas nominales i</t>
    </r>
    <r>
      <rPr>
        <b/>
        <vertAlign val="superscript"/>
        <sz val="11"/>
        <color theme="1"/>
        <rFont val="Calibri"/>
        <family val="2"/>
        <scheme val="minor"/>
      </rPr>
      <t>(m)</t>
    </r>
    <r>
      <rPr>
        <b/>
        <sz val="11"/>
        <color theme="1"/>
        <rFont val="Calibri"/>
        <family val="2"/>
        <scheme val="minor"/>
      </rPr>
      <t xml:space="preserve">  a tasas efectivas </t>
    </r>
    <r>
      <rPr>
        <b/>
        <i/>
        <sz val="11"/>
        <color theme="1"/>
        <rFont val="Calibri"/>
        <family val="2"/>
        <scheme val="minor"/>
      </rPr>
      <t>i</t>
    </r>
    <r>
      <rPr>
        <b/>
        <sz val="11"/>
        <color theme="1"/>
        <rFont val="Calibri"/>
        <family val="2"/>
        <scheme val="minor"/>
      </rPr>
      <t xml:space="preserve"> e instantáneas </t>
    </r>
    <r>
      <rPr>
        <b/>
        <sz val="11"/>
        <color theme="1"/>
        <rFont val="Symbol"/>
        <family val="1"/>
        <charset val="2"/>
      </rPr>
      <t>d</t>
    </r>
  </si>
  <si>
    <r>
      <t>i</t>
    </r>
    <r>
      <rPr>
        <vertAlign val="superscript"/>
        <sz val="11"/>
        <color theme="1"/>
        <rFont val="Calibri"/>
        <family val="2"/>
        <scheme val="minor"/>
      </rPr>
      <t>(m)</t>
    </r>
    <r>
      <rPr>
        <sz val="11"/>
        <color theme="1"/>
        <rFont val="Calibri"/>
        <family val="2"/>
        <scheme val="minor"/>
      </rPr>
      <t xml:space="preserve"> =</t>
    </r>
  </si>
  <si>
    <t>i =</t>
  </si>
  <si>
    <t>m =</t>
  </si>
  <si>
    <t>d =</t>
  </si>
  <si>
    <r>
      <t xml:space="preserve">De tasas instantáneas </t>
    </r>
    <r>
      <rPr>
        <b/>
        <sz val="11"/>
        <color theme="1"/>
        <rFont val="Symbol"/>
        <family val="1"/>
        <charset val="2"/>
      </rPr>
      <t>d</t>
    </r>
    <r>
      <rPr>
        <b/>
        <sz val="11"/>
        <color theme="1"/>
        <rFont val="Calibri"/>
        <family val="2"/>
        <scheme val="minor"/>
      </rPr>
      <t xml:space="preserve"> a tasa efectiva </t>
    </r>
    <r>
      <rPr>
        <b/>
        <i/>
        <sz val="11"/>
        <color theme="1"/>
        <rFont val="Calibri"/>
        <family val="2"/>
        <scheme val="minor"/>
      </rPr>
      <t>i</t>
    </r>
  </si>
  <si>
    <r>
      <t xml:space="preserve">De tasas instantáneas </t>
    </r>
    <r>
      <rPr>
        <b/>
        <sz val="11"/>
        <color theme="1"/>
        <rFont val="Symbol"/>
        <family val="1"/>
        <charset val="2"/>
      </rPr>
      <t>d</t>
    </r>
    <r>
      <rPr>
        <b/>
        <sz val="11"/>
        <color theme="1"/>
        <rFont val="Calibri"/>
        <family val="2"/>
        <scheme val="minor"/>
      </rPr>
      <t xml:space="preserve"> a tasas nominales </t>
    </r>
    <r>
      <rPr>
        <b/>
        <i/>
        <sz val="11"/>
        <color theme="1"/>
        <rFont val="Calibri"/>
        <family val="2"/>
        <scheme val="minor"/>
      </rPr>
      <t>i</t>
    </r>
    <r>
      <rPr>
        <b/>
        <i/>
        <vertAlign val="superscript"/>
        <sz val="11"/>
        <color theme="1"/>
        <rFont val="Calibri"/>
        <family val="2"/>
        <scheme val="minor"/>
      </rPr>
      <t>(m)</t>
    </r>
  </si>
  <si>
    <r>
      <t xml:space="preserve">De tasas tasas nominales </t>
    </r>
    <r>
      <rPr>
        <b/>
        <i/>
        <sz val="11"/>
        <color theme="1"/>
        <rFont val="Calibri"/>
        <family val="2"/>
        <scheme val="minor"/>
      </rPr>
      <t>i</t>
    </r>
    <r>
      <rPr>
        <b/>
        <i/>
        <vertAlign val="superscript"/>
        <sz val="11"/>
        <color theme="1"/>
        <rFont val="Calibri"/>
        <family val="2"/>
        <scheme val="minor"/>
      </rPr>
      <t>(m)</t>
    </r>
    <r>
      <rPr>
        <b/>
        <i/>
        <sz val="11"/>
        <color theme="1"/>
        <rFont val="Calibri"/>
        <family val="2"/>
        <scheme val="minor"/>
      </rPr>
      <t xml:space="preserve"> a tasas nominales i</t>
    </r>
    <r>
      <rPr>
        <b/>
        <i/>
        <vertAlign val="superscript"/>
        <sz val="11"/>
        <color theme="1"/>
        <rFont val="Calibri"/>
        <family val="2"/>
        <scheme val="minor"/>
      </rPr>
      <t>(p)</t>
    </r>
  </si>
  <si>
    <r>
      <t>i</t>
    </r>
    <r>
      <rPr>
        <vertAlign val="superscript"/>
        <sz val="11"/>
        <color theme="1"/>
        <rFont val="Calibri"/>
        <family val="2"/>
        <scheme val="minor"/>
      </rPr>
      <t>(p)</t>
    </r>
    <r>
      <rPr>
        <sz val="11"/>
        <color theme="1"/>
        <rFont val="Calibri"/>
        <family val="2"/>
        <scheme val="minor"/>
      </rPr>
      <t xml:space="preserve"> =</t>
    </r>
  </si>
  <si>
    <t>p =</t>
  </si>
  <si>
    <t>¿?</t>
  </si>
  <si>
    <t>Ilustración de la reinversión de los intereses a tasas efectivas, nominales e instantáneas</t>
  </si>
  <si>
    <t xml:space="preserve">i= </t>
  </si>
  <si>
    <r>
      <t>C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=</t>
    </r>
  </si>
  <si>
    <t>n =</t>
  </si>
  <si>
    <t>Periodo de reiniversión</t>
  </si>
  <si>
    <t>m = Veces al año</t>
  </si>
  <si>
    <t>Monto acumulado</t>
  </si>
  <si>
    <t>Cada 4 años</t>
  </si>
  <si>
    <t>Cada 2 años</t>
  </si>
  <si>
    <t>Anual</t>
  </si>
  <si>
    <t>Semestral</t>
  </si>
  <si>
    <t>Trimestral</t>
  </si>
  <si>
    <t>Mensual</t>
  </si>
  <si>
    <t>Semanal</t>
  </si>
  <si>
    <t>Diaria</t>
  </si>
  <si>
    <t>Cada hora</t>
  </si>
  <si>
    <t>Cada minuto</t>
  </si>
  <si>
    <t>Cada segundo</t>
  </si>
  <si>
    <t>Instantánea</t>
  </si>
  <si>
    <t>∞</t>
  </si>
  <si>
    <r>
      <t>Valor futuro de una inversión inicial C</t>
    </r>
    <r>
      <rPr>
        <b/>
        <vertAlign val="subscript"/>
        <sz val="11"/>
        <color theme="1"/>
        <rFont val="Calibri"/>
        <family val="2"/>
        <scheme val="minor"/>
      </rPr>
      <t>0</t>
    </r>
    <r>
      <rPr>
        <b/>
        <sz val="11"/>
        <color theme="1"/>
        <rFont val="Calibri"/>
        <family val="2"/>
        <scheme val="minor"/>
      </rPr>
      <t xml:space="preserve">, durante n periodos a una tasa efectiva anual i  </t>
    </r>
  </si>
  <si>
    <t>Aplicación de la fórmula</t>
  </si>
  <si>
    <r>
      <t>C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 =</t>
    </r>
  </si>
  <si>
    <r>
      <t>Valor futuro de una inversión inicial C</t>
    </r>
    <r>
      <rPr>
        <b/>
        <vertAlign val="subscript"/>
        <sz val="11"/>
        <color theme="1"/>
        <rFont val="Calibri"/>
        <family val="2"/>
        <scheme val="minor"/>
      </rPr>
      <t>0</t>
    </r>
    <r>
      <rPr>
        <b/>
        <sz val="11"/>
        <color theme="1"/>
        <rFont val="Calibri"/>
        <family val="2"/>
        <scheme val="minor"/>
      </rPr>
      <t>, durante nm periodos a una tasa efectiva  i</t>
    </r>
    <r>
      <rPr>
        <b/>
        <vertAlign val="subscript"/>
        <sz val="11"/>
        <color theme="1"/>
        <rFont val="Calibri"/>
        <family val="2"/>
        <scheme val="minor"/>
      </rPr>
      <t>m</t>
    </r>
    <r>
      <rPr>
        <b/>
        <sz val="11"/>
        <color theme="1"/>
        <rFont val="Calibri"/>
        <family val="2"/>
        <scheme val="minor"/>
      </rPr>
      <t xml:space="preserve">  </t>
    </r>
  </si>
  <si>
    <r>
      <t>C</t>
    </r>
    <r>
      <rPr>
        <vertAlign val="subscript"/>
        <sz val="11"/>
        <color theme="1"/>
        <rFont val="Calibri"/>
        <family val="2"/>
        <scheme val="minor"/>
      </rPr>
      <t>nm</t>
    </r>
    <r>
      <rPr>
        <sz val="11"/>
        <color theme="1"/>
        <rFont val="Calibri"/>
        <family val="2"/>
        <scheme val="minor"/>
      </rPr>
      <t xml:space="preserve"> =</t>
    </r>
  </si>
  <si>
    <r>
      <t>i</t>
    </r>
    <r>
      <rPr>
        <vertAlign val="sub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 xml:space="preserve"> =</t>
    </r>
  </si>
  <si>
    <r>
      <t>Valor futuro de una inversión inicial C</t>
    </r>
    <r>
      <rPr>
        <b/>
        <vertAlign val="subscript"/>
        <sz val="11"/>
        <color theme="1"/>
        <rFont val="Calibri"/>
        <family val="2"/>
        <scheme val="minor"/>
      </rPr>
      <t>0</t>
    </r>
    <r>
      <rPr>
        <b/>
        <sz val="11"/>
        <color theme="1"/>
        <rFont val="Calibri"/>
        <family val="2"/>
        <scheme val="minor"/>
      </rPr>
      <t xml:space="preserve">, durante n periodos a una tasa instantánea </t>
    </r>
    <r>
      <rPr>
        <b/>
        <sz val="11"/>
        <color theme="1"/>
        <rFont val="Symbol"/>
        <family val="1"/>
        <charset val="2"/>
      </rPr>
      <t>d</t>
    </r>
  </si>
  <si>
    <r>
      <t>Valor presente de una cantidad de dinero futura C</t>
    </r>
    <r>
      <rPr>
        <b/>
        <vertAlign val="subscript"/>
        <sz val="11"/>
        <color theme="1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>, traída durante n periodos a una tasa efectiva anual</t>
    </r>
  </si>
  <si>
    <r>
      <t>Valor presente de una cantidad de dinero futura C</t>
    </r>
    <r>
      <rPr>
        <b/>
        <vertAlign val="subscript"/>
        <sz val="11"/>
        <color theme="1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>, traída durante nm periodos a una tasa efectiva i</t>
    </r>
    <r>
      <rPr>
        <b/>
        <vertAlign val="subscript"/>
        <sz val="11"/>
        <color theme="1"/>
        <rFont val="Calibri"/>
        <family val="2"/>
        <scheme val="minor"/>
      </rPr>
      <t>m</t>
    </r>
    <r>
      <rPr>
        <b/>
        <sz val="11"/>
        <color theme="1"/>
        <rFont val="Calibri"/>
        <family val="2"/>
        <scheme val="minor"/>
      </rPr>
      <t xml:space="preserve"> </t>
    </r>
  </si>
  <si>
    <r>
      <t>Valor presente de  una cantidad de dinero futura C</t>
    </r>
    <r>
      <rPr>
        <b/>
        <vertAlign val="subscript"/>
        <sz val="11"/>
        <color theme="1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 xml:space="preserve">, traída durante n periodos a una tasa instantánea </t>
    </r>
    <r>
      <rPr>
        <b/>
        <sz val="11"/>
        <color theme="1"/>
        <rFont val="Symbol"/>
        <family val="1"/>
        <charset val="2"/>
      </rPr>
      <t>d</t>
    </r>
  </si>
  <si>
    <t>Tasa de rendimiento efectivo anual o tasa de crecimiento geométrico</t>
  </si>
  <si>
    <r>
      <t>C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 :</t>
    </r>
  </si>
  <si>
    <t>Valor final de la serie.</t>
  </si>
  <si>
    <r>
      <t>C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:</t>
    </r>
  </si>
  <si>
    <t>Valor inicial de la serie.</t>
  </si>
  <si>
    <t>n:</t>
  </si>
  <si>
    <t>Número de periodos entre el valor inicial y final de la serie</t>
  </si>
  <si>
    <t>Determinación del número de periodos de una inversión</t>
  </si>
  <si>
    <t>Años</t>
  </si>
  <si>
    <t>Meses</t>
  </si>
  <si>
    <t>Días</t>
  </si>
  <si>
    <t>Horas</t>
  </si>
  <si>
    <t>Minutos</t>
  </si>
  <si>
    <t>Segundos</t>
  </si>
  <si>
    <t>Determinación del número de periodos a partir del valor presente de una serie de pagos periódicos.</t>
  </si>
  <si>
    <t>VP =</t>
  </si>
  <si>
    <t>Solver resuelve el sistema</t>
  </si>
  <si>
    <t>R =</t>
  </si>
  <si>
    <r>
      <t>Valor futuro de rentas vencidas constantes realizadas durante nm periodos a una tasa efectiva i</t>
    </r>
    <r>
      <rPr>
        <b/>
        <vertAlign val="subscript"/>
        <sz val="11"/>
        <color theme="1"/>
        <rFont val="Calibri"/>
        <family val="2"/>
        <scheme val="minor"/>
      </rPr>
      <t>m</t>
    </r>
    <r>
      <rPr>
        <b/>
        <sz val="11"/>
        <color theme="1"/>
        <rFont val="Calibri"/>
        <family val="2"/>
        <scheme val="minor"/>
      </rPr>
      <t xml:space="preserve">  </t>
    </r>
  </si>
  <si>
    <t>Renta =</t>
  </si>
  <si>
    <t>Valor futuro =</t>
  </si>
  <si>
    <r>
      <t>S</t>
    </r>
    <r>
      <rPr>
        <vertAlign val="subscript"/>
        <sz val="11"/>
        <color theme="1"/>
        <rFont val="Calibri"/>
        <family val="2"/>
        <scheme val="minor"/>
      </rPr>
      <t>nm im</t>
    </r>
    <r>
      <rPr>
        <sz val="11"/>
        <color theme="1"/>
        <rFont val="Calibri"/>
        <family val="2"/>
        <scheme val="minor"/>
      </rPr>
      <t xml:space="preserve"> =</t>
    </r>
  </si>
  <si>
    <t xml:space="preserve"> =(((1+C10)^(C8*C9))-1)/C10</t>
  </si>
  <si>
    <r>
      <t>Valor futuro de rentas anticipadas constantes realizadas durante nm periodos a una tasa efectiva i</t>
    </r>
    <r>
      <rPr>
        <b/>
        <vertAlign val="subscript"/>
        <sz val="11"/>
        <color theme="1"/>
        <rFont val="Calibri"/>
        <family val="2"/>
        <scheme val="minor"/>
      </rPr>
      <t>m</t>
    </r>
    <r>
      <rPr>
        <b/>
        <sz val="11"/>
        <color theme="1"/>
        <rFont val="Calibri"/>
        <family val="2"/>
        <scheme val="minor"/>
      </rPr>
      <t xml:space="preserve">  </t>
    </r>
  </si>
  <si>
    <r>
      <t>Valor futuro de rentas vencidas constantes realizadas p veces al año, durante n años (total en np periodos) a una tasa nominal anual i</t>
    </r>
    <r>
      <rPr>
        <b/>
        <vertAlign val="superscript"/>
        <sz val="11"/>
        <color theme="1"/>
        <rFont val="Calibri"/>
        <family val="2"/>
        <scheme val="minor"/>
      </rPr>
      <t>(m)</t>
    </r>
    <r>
      <rPr>
        <b/>
        <sz val="11"/>
        <color theme="1"/>
        <rFont val="Calibri"/>
        <family val="2"/>
        <scheme val="minor"/>
      </rPr>
      <t xml:space="preserve"> </t>
    </r>
  </si>
  <si>
    <t xml:space="preserve">  donde: </t>
  </si>
  <si>
    <t>Renta annual =</t>
  </si>
  <si>
    <t>Valor presente =</t>
  </si>
  <si>
    <t>Renta por periodo =</t>
  </si>
  <si>
    <t>np =</t>
  </si>
  <si>
    <r>
      <t>i</t>
    </r>
    <r>
      <rPr>
        <vertAlign val="sub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 =</t>
    </r>
  </si>
  <si>
    <r>
      <t>S</t>
    </r>
    <r>
      <rPr>
        <vertAlign val="subscript"/>
        <sz val="11"/>
        <color theme="1"/>
        <rFont val="Calibri"/>
        <family val="2"/>
        <scheme val="minor"/>
      </rPr>
      <t>np ip</t>
    </r>
    <r>
      <rPr>
        <sz val="11"/>
        <color theme="1"/>
        <rFont val="Calibri"/>
        <family val="2"/>
        <scheme val="minor"/>
      </rPr>
      <t xml:space="preserve"> =</t>
    </r>
  </si>
  <si>
    <t>Valor futuro de rentas vencidas constantes realizadas de manera instantánea, durante n años (total en np periodos) a una tasa anual i</t>
  </si>
  <si>
    <r>
      <t>Valor presente de rentas vencidas constantes realizadas durante nm periodos a una tasa efectiva i</t>
    </r>
    <r>
      <rPr>
        <b/>
        <vertAlign val="subscript"/>
        <sz val="11"/>
        <color theme="1"/>
        <rFont val="Calibri"/>
        <family val="2"/>
        <scheme val="minor"/>
      </rPr>
      <t>m</t>
    </r>
    <r>
      <rPr>
        <b/>
        <sz val="11"/>
        <color theme="1"/>
        <rFont val="Calibri"/>
        <family val="2"/>
        <scheme val="minor"/>
      </rPr>
      <t xml:space="preserve">  </t>
    </r>
  </si>
  <si>
    <r>
      <t>a</t>
    </r>
    <r>
      <rPr>
        <vertAlign val="subscript"/>
        <sz val="11"/>
        <color theme="1"/>
        <rFont val="Calibri"/>
        <family val="2"/>
        <scheme val="minor"/>
      </rPr>
      <t>nm im</t>
    </r>
    <r>
      <rPr>
        <sz val="11"/>
        <color theme="1"/>
        <rFont val="Calibri"/>
        <family val="2"/>
        <scheme val="minor"/>
      </rPr>
      <t xml:space="preserve"> =</t>
    </r>
  </si>
  <si>
    <r>
      <t>Valor presente de rentas anticipadas constantes realizadas durante nm periodos a una tasa efectiva i</t>
    </r>
    <r>
      <rPr>
        <b/>
        <vertAlign val="subscript"/>
        <sz val="11"/>
        <color theme="1"/>
        <rFont val="Calibri"/>
        <family val="2"/>
        <scheme val="minor"/>
      </rPr>
      <t>m</t>
    </r>
    <r>
      <rPr>
        <b/>
        <sz val="11"/>
        <color theme="1"/>
        <rFont val="Calibri"/>
        <family val="2"/>
        <scheme val="minor"/>
      </rPr>
      <t xml:space="preserve">  </t>
    </r>
  </si>
  <si>
    <t xml:space="preserve"> =(1-((1+C10)^(-C8*C9)))/C10</t>
  </si>
  <si>
    <r>
      <t>Valor presente de rentas constantes perpetuas y tasa efectiva i</t>
    </r>
    <r>
      <rPr>
        <b/>
        <vertAlign val="subscript"/>
        <sz val="11"/>
        <color theme="1"/>
        <rFont val="Calibri"/>
        <family val="2"/>
        <scheme val="minor"/>
      </rPr>
      <t>m</t>
    </r>
    <r>
      <rPr>
        <b/>
        <sz val="11"/>
        <color theme="1"/>
        <rFont val="Calibri"/>
        <family val="2"/>
        <scheme val="minor"/>
      </rPr>
      <t xml:space="preserve"> </t>
    </r>
  </si>
  <si>
    <r>
      <t>a</t>
    </r>
    <r>
      <rPr>
        <vertAlign val="subscript"/>
        <sz val="11"/>
        <color theme="1"/>
        <rFont val="Calibri"/>
        <family val="2"/>
        <scheme val="minor"/>
      </rPr>
      <t>Perpetua im</t>
    </r>
    <r>
      <rPr>
        <sz val="11"/>
        <color theme="1"/>
        <rFont val="Calibri"/>
        <family val="2"/>
        <scheme val="minor"/>
      </rPr>
      <t xml:space="preserve"> =</t>
    </r>
  </si>
  <si>
    <r>
      <t>Valor presente de rentas vencidas constantes realizadas p veces al año, durante n años (total en np periodos) a una tasa nominal anual i</t>
    </r>
    <r>
      <rPr>
        <b/>
        <vertAlign val="superscript"/>
        <sz val="11"/>
        <color theme="1"/>
        <rFont val="Calibri"/>
        <family val="2"/>
        <scheme val="minor"/>
      </rPr>
      <t>(m)</t>
    </r>
    <r>
      <rPr>
        <b/>
        <sz val="11"/>
        <color theme="1"/>
        <rFont val="Calibri"/>
        <family val="2"/>
        <scheme val="minor"/>
      </rPr>
      <t xml:space="preserve"> </t>
    </r>
  </si>
  <si>
    <r>
      <t>a</t>
    </r>
    <r>
      <rPr>
        <vertAlign val="subscript"/>
        <sz val="11"/>
        <color theme="1"/>
        <rFont val="Calibri"/>
        <family val="2"/>
        <scheme val="minor"/>
      </rPr>
      <t>np ip</t>
    </r>
    <r>
      <rPr>
        <sz val="11"/>
        <color theme="1"/>
        <rFont val="Calibri"/>
        <family val="2"/>
        <scheme val="minor"/>
      </rPr>
      <t xml:space="preserve"> =</t>
    </r>
  </si>
  <si>
    <t>Valor presente de rentas vencidas constantes realizadas de manera instantánea, durante n años (total en np periodos) a una tasa anual i</t>
  </si>
  <si>
    <r>
      <t>ā</t>
    </r>
    <r>
      <rPr>
        <vertAlign val="subscript"/>
        <sz val="11"/>
        <color theme="1"/>
        <rFont val="Calibri"/>
        <family val="2"/>
      </rPr>
      <t>np,ip</t>
    </r>
    <r>
      <rPr>
        <sz val="11"/>
        <color theme="1"/>
        <rFont val="Calibri"/>
        <family val="2"/>
      </rPr>
      <t xml:space="preserve"> =</t>
    </r>
  </si>
  <si>
    <r>
      <t>Amortización de una deuda con valor actual definido, rentas constantes realizadas durante nm periodos con una tasa de interés efectiva i</t>
    </r>
    <r>
      <rPr>
        <b/>
        <vertAlign val="subscript"/>
        <sz val="11"/>
        <color theme="1"/>
        <rFont val="Calibri"/>
        <family val="2"/>
        <scheme val="minor"/>
      </rPr>
      <t>m</t>
    </r>
    <r>
      <rPr>
        <b/>
        <sz val="11"/>
        <color theme="1"/>
        <rFont val="Calibri"/>
        <family val="2"/>
        <scheme val="minor"/>
      </rPr>
      <t xml:space="preserve">  </t>
    </r>
  </si>
  <si>
    <t>Aplicación de la fórmula. Generalmente se debe encontrar la renta.</t>
  </si>
  <si>
    <t>Enganche  =</t>
  </si>
  <si>
    <t>Financiamiento =</t>
  </si>
  <si>
    <t>Valor presente de la deuda</t>
  </si>
  <si>
    <t>Suma =</t>
  </si>
  <si>
    <t>Periodo</t>
  </si>
  <si>
    <t>Saldo al inicio del pariodo</t>
  </si>
  <si>
    <t>Intereses</t>
  </si>
  <si>
    <t>Capital contenido en el pago</t>
  </si>
  <si>
    <t>Saldo al final del periodo</t>
  </si>
  <si>
    <r>
      <t>Valor futuro de rentas crecientes a tasa geométrica q, realizadas durante nm periodos, con una tasa de interés efectiva i</t>
    </r>
    <r>
      <rPr>
        <b/>
        <vertAlign val="subscript"/>
        <sz val="11"/>
        <color theme="1"/>
        <rFont val="Calibri"/>
        <family val="2"/>
        <scheme val="minor"/>
      </rPr>
      <t>m</t>
    </r>
    <r>
      <rPr>
        <b/>
        <sz val="11"/>
        <color theme="1"/>
        <rFont val="Calibri"/>
        <family val="2"/>
        <scheme val="minor"/>
      </rPr>
      <t xml:space="preserve">  </t>
    </r>
  </si>
  <si>
    <r>
      <t>R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=</t>
    </r>
  </si>
  <si>
    <t>q =</t>
  </si>
  <si>
    <r>
      <t>q</t>
    </r>
    <r>
      <rPr>
        <vertAlign val="sub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 xml:space="preserve"> =</t>
    </r>
  </si>
  <si>
    <t>Factor de VF =</t>
  </si>
  <si>
    <r>
      <t>Valor presente de rentas a tasa creciente geométrica q, realizadas durante nm periodos, con una tasa de interés efectiva i</t>
    </r>
    <r>
      <rPr>
        <b/>
        <vertAlign val="subscript"/>
        <sz val="11"/>
        <color theme="1"/>
        <rFont val="Calibri"/>
        <family val="2"/>
        <scheme val="minor"/>
      </rPr>
      <t>m</t>
    </r>
    <r>
      <rPr>
        <b/>
        <sz val="11"/>
        <color theme="1"/>
        <rFont val="Calibri"/>
        <family val="2"/>
        <scheme val="minor"/>
      </rPr>
      <t xml:space="preserve">  </t>
    </r>
  </si>
  <si>
    <t>Pago inicial =</t>
  </si>
  <si>
    <t>Pago total =</t>
  </si>
  <si>
    <t>Factor de VP =</t>
  </si>
  <si>
    <t>Valuación de bonos (dada la tasa cupón, cupón, yield, VN, T)</t>
  </si>
  <si>
    <t>Fecha =</t>
  </si>
  <si>
    <t>Valor presente cupones =</t>
  </si>
  <si>
    <t>Vencimiento =</t>
  </si>
  <si>
    <t>Valor presente VN =</t>
  </si>
  <si>
    <t>Tasa cupón anual =</t>
  </si>
  <si>
    <t>Yield to maturity =</t>
  </si>
  <si>
    <t>B =</t>
  </si>
  <si>
    <t>Cupón anual ($) =</t>
  </si>
  <si>
    <t>VN =</t>
  </si>
  <si>
    <t>Factor lenguaje Excel =</t>
  </si>
  <si>
    <t>Periodicidad cupón =</t>
  </si>
  <si>
    <r>
      <t xml:space="preserve">r </t>
    </r>
    <r>
      <rPr>
        <vertAlign val="subscript"/>
        <sz val="11"/>
        <color theme="1"/>
        <rFont val="Calibri"/>
        <family val="2"/>
        <scheme val="minor"/>
      </rPr>
      <t>Efectiva</t>
    </r>
    <r>
      <rPr>
        <sz val="11"/>
        <color theme="1"/>
        <rFont val="Calibri"/>
        <family val="2"/>
        <scheme val="minor"/>
      </rPr>
      <t xml:space="preserve"> =</t>
    </r>
  </si>
  <si>
    <t>T =</t>
  </si>
  <si>
    <t>Factor de VP Cupones =</t>
  </si>
  <si>
    <t>Factor de VP VN =</t>
  </si>
  <si>
    <t>Determinación del yield del bono (dada la tasa cupón, cupón, VN, Valor de Mercado, T)</t>
  </si>
  <si>
    <r>
      <t xml:space="preserve">B </t>
    </r>
    <r>
      <rPr>
        <vertAlign val="subscript"/>
        <sz val="11"/>
        <color theme="1"/>
        <rFont val="Calibri"/>
        <family val="2"/>
        <scheme val="minor"/>
      </rPr>
      <t>Mercado</t>
    </r>
    <r>
      <rPr>
        <sz val="11"/>
        <color theme="1"/>
        <rFont val="Calibri"/>
        <family val="2"/>
        <scheme val="minor"/>
      </rPr>
      <t xml:space="preserve"> =</t>
    </r>
  </si>
  <si>
    <t>Función Objetivo</t>
  </si>
  <si>
    <t>Valuación de acciones (dividendos crecen a tasa cero)</t>
  </si>
  <si>
    <r>
      <t>Dividendos, D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=</t>
    </r>
  </si>
  <si>
    <r>
      <t>P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=</t>
    </r>
  </si>
  <si>
    <t>Rendimiento requerido, R =</t>
  </si>
  <si>
    <t>Valuación de acciones (dividendos crecen a tasa constante g)</t>
  </si>
  <si>
    <r>
      <t>P</t>
    </r>
    <r>
      <rPr>
        <vertAlign val="sub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 xml:space="preserve"> =</t>
    </r>
  </si>
  <si>
    <t>Tasa de crecimiento del dividiendo, g =</t>
  </si>
  <si>
    <t>t =</t>
  </si>
  <si>
    <t>Valuación de acciones (dividendos crecen a tasa no constante durante t periodos, y constante después a la tasa g)</t>
  </si>
  <si>
    <r>
      <t>D</t>
    </r>
    <r>
      <rPr>
        <vertAlign val="sub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 xml:space="preserve"> =</t>
    </r>
  </si>
  <si>
    <t>Tasa de crecimiento del dividiendo a largo plazo, g =</t>
  </si>
  <si>
    <r>
      <t>VP(P</t>
    </r>
    <r>
      <rPr>
        <vertAlign val="sub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)=</t>
    </r>
  </si>
  <si>
    <r>
      <t>D</t>
    </r>
    <r>
      <rPr>
        <b/>
        <vertAlign val="subscript"/>
        <sz val="11"/>
        <color theme="1"/>
        <rFont val="Calibri"/>
        <family val="2"/>
        <scheme val="minor"/>
      </rPr>
      <t>t</t>
    </r>
  </si>
  <si>
    <t>Factor de VP</t>
  </si>
  <si>
    <r>
      <t>D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=</t>
    </r>
  </si>
  <si>
    <r>
      <t>D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</t>
    </r>
  </si>
  <si>
    <r>
      <t>D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=</t>
    </r>
  </si>
  <si>
    <r>
      <t>D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=</t>
    </r>
  </si>
  <si>
    <r>
      <t>D</t>
    </r>
    <r>
      <rPr>
        <vertAlign val="sub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=</t>
    </r>
  </si>
  <si>
    <r>
      <t>D</t>
    </r>
    <r>
      <rPr>
        <vertAlign val="sub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=</t>
    </r>
  </si>
  <si>
    <r>
      <t>D</t>
    </r>
    <r>
      <rPr>
        <vertAlign val="sub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=</t>
    </r>
  </si>
  <si>
    <r>
      <t>D</t>
    </r>
    <r>
      <rPr>
        <vertAlign val="sub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=</t>
    </r>
  </si>
  <si>
    <r>
      <t>D</t>
    </r>
    <r>
      <rPr>
        <vertAlign val="sub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=</t>
    </r>
  </si>
  <si>
    <r>
      <t>D</t>
    </r>
    <r>
      <rPr>
        <vertAlign val="sub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=</t>
    </r>
  </si>
  <si>
    <r>
      <t>VP D</t>
    </r>
    <r>
      <rPr>
        <b/>
        <vertAlign val="subscript"/>
        <sz val="11"/>
        <color theme="1"/>
        <rFont val="Calibri"/>
        <family val="2"/>
        <scheme val="minor"/>
      </rPr>
      <t>t</t>
    </r>
  </si>
  <si>
    <r>
      <t>Valuación de acciones (dividendos crecen en dos etapas: hasta t crece a tasa g</t>
    </r>
    <r>
      <rPr>
        <b/>
        <vertAlign val="sub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>; posteriormente crecen a tasa g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</si>
  <si>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r>
      <t>Tasa de crecimiento del dividiendo, g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=</t>
    </r>
  </si>
  <si>
    <r>
      <t>Tasa de crecimiento del dividiendo, g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</t>
    </r>
  </si>
  <si>
    <t>Valuación de acciones usando el múltiplo PE (price-earning ratio)</t>
  </si>
  <si>
    <r>
      <t xml:space="preserve">PE </t>
    </r>
    <r>
      <rPr>
        <vertAlign val="subscript"/>
        <sz val="11"/>
        <color theme="1"/>
        <rFont val="Calibri"/>
        <family val="2"/>
        <scheme val="minor"/>
      </rPr>
      <t>Benchmark</t>
    </r>
    <r>
      <rPr>
        <sz val="11"/>
        <color theme="1"/>
        <rFont val="Calibri"/>
        <family val="2"/>
        <scheme val="minor"/>
      </rPr>
      <t xml:space="preserve"> =</t>
    </r>
  </si>
  <si>
    <r>
      <t>EPS</t>
    </r>
    <r>
      <rPr>
        <vertAlign val="sub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 xml:space="preserve"> =</t>
    </r>
  </si>
  <si>
    <t>Net Income =</t>
  </si>
  <si>
    <t>Number of shares =</t>
  </si>
  <si>
    <t>Valuación de acciones usando el múltiplo PS (price-sales ratio)</t>
  </si>
  <si>
    <r>
      <t xml:space="preserve">PS </t>
    </r>
    <r>
      <rPr>
        <vertAlign val="subscript"/>
        <sz val="11"/>
        <color theme="1"/>
        <rFont val="Calibri"/>
        <family val="2"/>
        <scheme val="minor"/>
      </rPr>
      <t>Benchmark</t>
    </r>
    <r>
      <rPr>
        <sz val="11"/>
        <color theme="1"/>
        <rFont val="Calibri"/>
        <family val="2"/>
        <scheme val="minor"/>
      </rPr>
      <t xml:space="preserve"> =</t>
    </r>
  </si>
  <si>
    <r>
      <t>PS</t>
    </r>
    <r>
      <rPr>
        <vertAlign val="sub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 xml:space="preserve"> =</t>
    </r>
  </si>
  <si>
    <t>Sales =</t>
  </si>
  <si>
    <t>Rendimiento requerido (dividendos crecen a tasa constante g)</t>
  </si>
  <si>
    <r>
      <t>Precio de la acción, P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=</t>
    </r>
  </si>
  <si>
    <t>Determinación de precios Forwards y Futuros para activos sin ingresos ni costos</t>
  </si>
  <si>
    <r>
      <t>S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=</t>
    </r>
  </si>
  <si>
    <r>
      <t>F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=</t>
    </r>
  </si>
  <si>
    <t>r =</t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</si>
  <si>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scheme val="minor"/>
      </rPr>
      <t xml:space="preserve"> =</t>
    </r>
  </si>
  <si>
    <t>Determinación de precios Forwards y Futuros para activos con ingresos conocidos (discretos)</t>
  </si>
  <si>
    <t>I =</t>
  </si>
  <si>
    <t>Determinación de precios Forwards y Futuros para activos que ofrecen un retorno (yield) conocido</t>
  </si>
  <si>
    <t>Precios Forward o precios Futuro sobre Monedas</t>
  </si>
  <si>
    <r>
      <t>r</t>
    </r>
    <r>
      <rPr>
        <vertAlign val="sub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 =</t>
    </r>
  </si>
  <si>
    <t>Precios Forward o precios Futuros de mercancías</t>
  </si>
  <si>
    <t>U =</t>
  </si>
  <si>
    <t>Precio del contrato forward</t>
  </si>
  <si>
    <t xml:space="preserve">Posición corta: </t>
  </si>
  <si>
    <t xml:space="preserve">Posición larga: </t>
  </si>
  <si>
    <t>K =</t>
  </si>
  <si>
    <t>Determinación de precios de opciones call y put para activos sin ingresos ni costos</t>
  </si>
  <si>
    <r>
      <t>S</t>
    </r>
    <r>
      <rPr>
        <vertAlign val="sub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 xml:space="preserve"> =</t>
    </r>
  </si>
  <si>
    <t>c =</t>
  </si>
  <si>
    <t>|</t>
  </si>
  <si>
    <t>(en años)</t>
  </si>
  <si>
    <r>
      <rPr>
        <sz val="11"/>
        <color theme="1"/>
        <rFont val="Symbol"/>
        <family val="1"/>
        <charset val="2"/>
      </rPr>
      <t>s</t>
    </r>
    <r>
      <rPr>
        <sz val="11"/>
        <color theme="1"/>
        <rFont val="Calibri"/>
        <family val="2"/>
        <scheme val="minor"/>
      </rPr>
      <t xml:space="preserve"> =</t>
    </r>
  </si>
  <si>
    <r>
      <t>d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=</t>
    </r>
  </si>
  <si>
    <r>
      <t>d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</t>
    </r>
  </si>
  <si>
    <r>
      <t>N(d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) =</t>
    </r>
  </si>
  <si>
    <r>
      <t>N(d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 =</t>
    </r>
  </si>
  <si>
    <r>
      <t>N(-d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) =</t>
    </r>
  </si>
  <si>
    <r>
      <t>N(-d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 =</t>
    </r>
  </si>
  <si>
    <t>Determinación de precios de opciones call y put para activos con ingresos discretos</t>
  </si>
  <si>
    <t>D =</t>
  </si>
  <si>
    <t>Determinación de precios de opciones call y put para activos con ingresos expresados en tasa</t>
  </si>
  <si>
    <t>Determinación de precios de opciones call y put para divisas</t>
  </si>
  <si>
    <t>Anexo. Formulario de Matemáticas Financieras</t>
  </si>
  <si>
    <t>Anexo. Formulario de Instrumentos Financieros Derivados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</si>
</sst>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&quot;$&quot;#,##0.00;[Red]\-&quot;$&quot;#,##0.00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0.0%"/>
    <numFmt numFmtId="168" formatCode="_-* #,##0_-;\-* #,##0_-;_-* &quot;-&quot;??_-;_-@_-"/>
    <numFmt numFmtId="169" formatCode="0.0000"/>
    <numFmt numFmtId="170" formatCode="_-* #,##0.0000_-;\-* #,##0.0000_-;_-* &quot;-&quot;??_-;_-@_-"/>
    <numFmt numFmtId="171" formatCode="0.0000%"/>
    <numFmt numFmtId="172" formatCode="0.000%"/>
    <numFmt numFmtId="173" formatCode="_-&quot;$&quot;* #,##0_-;\-&quot;$&quot;* #,##0_-;_-&quot;$&quot;* &quot;-&quot;??_-;_-@_-"/>
    <numFmt numFmtId="174" formatCode="_-* #,##0.000_-;\-* #,##0.000_-;_-* &quot;-&quot;??_-;_-@_-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u/>
      <sz val="11"/>
      <color theme="10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color theme="1"/>
      <name val="Symbol"/>
      <family val="1"/>
      <charset val="2"/>
    </font>
    <font>
      <sz val="14"/>
      <color theme="1"/>
      <name val="Calibri"/>
      <family val="2"/>
    </font>
    <font>
      <b/>
      <vertAlign val="sub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vertAlign val="superscript"/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</font>
    <font>
      <sz val="11"/>
      <color theme="1"/>
      <name val="Calibri"/>
      <family val="1"/>
      <charset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5" fontId="1" fillId="0" borderId="0" applyFont="0" applyFill="0" applyBorder="0" applyAlignment="0" applyProtection="0"/>
  </cellStyleXfs>
  <cellXfs count="102">
    <xf numFmtId="0" fontId="0" fillId="0" borderId="0" xfId="0"/>
    <xf numFmtId="0" fontId="0" fillId="0" borderId="0" xfId="0" applyAlignment="1">
      <alignment horizontal="right"/>
    </xf>
    <xf numFmtId="9" fontId="0" fillId="0" borderId="0" xfId="0" applyNumberFormat="1"/>
    <xf numFmtId="166" fontId="0" fillId="0" borderId="0" xfId="1" applyFont="1"/>
    <xf numFmtId="167" fontId="0" fillId="0" borderId="0" xfId="0" applyNumberFormat="1"/>
    <xf numFmtId="10" fontId="0" fillId="0" borderId="0" xfId="0" applyNumberFormat="1"/>
    <xf numFmtId="0" fontId="0" fillId="2" borderId="0" xfId="0" applyFill="1"/>
    <xf numFmtId="0" fontId="2" fillId="2" borderId="0" xfId="0" applyFont="1" applyFill="1"/>
    <xf numFmtId="0" fontId="5" fillId="0" borderId="0" xfId="0" applyFont="1" applyAlignment="1">
      <alignment horizontal="right"/>
    </xf>
    <xf numFmtId="10" fontId="0" fillId="0" borderId="0" xfId="2" applyNumberFormat="1" applyFont="1"/>
    <xf numFmtId="166" fontId="0" fillId="0" borderId="0" xfId="0" applyNumberFormat="1"/>
    <xf numFmtId="0" fontId="0" fillId="0" borderId="1" xfId="0" applyBorder="1" applyAlignment="1">
      <alignment horizontal="right"/>
    </xf>
    <xf numFmtId="166" fontId="0" fillId="0" borderId="0" xfId="1" applyFont="1" applyBorder="1"/>
    <xf numFmtId="0" fontId="0" fillId="3" borderId="1" xfId="0" applyFill="1" applyBorder="1" applyAlignment="1">
      <alignment horizontal="right"/>
    </xf>
    <xf numFmtId="166" fontId="0" fillId="3" borderId="0" xfId="1" applyFont="1" applyFill="1" applyBorder="1"/>
    <xf numFmtId="0" fontId="0" fillId="3" borderId="3" xfId="0" applyFill="1" applyBorder="1" applyAlignment="1">
      <alignment horizontal="right"/>
    </xf>
    <xf numFmtId="0" fontId="0" fillId="0" borderId="0" xfId="0" applyAlignment="1">
      <alignment horizontal="center"/>
    </xf>
    <xf numFmtId="0" fontId="0" fillId="3" borderId="0" xfId="0" applyFill="1"/>
    <xf numFmtId="168" fontId="0" fillId="0" borderId="0" xfId="1" applyNumberFormat="1" applyFont="1"/>
    <xf numFmtId="0" fontId="0" fillId="0" borderId="1" xfId="0" applyBorder="1" applyAlignment="1">
      <alignment horizontal="center"/>
    </xf>
    <xf numFmtId="168" fontId="0" fillId="0" borderId="0" xfId="1" applyNumberFormat="1" applyFont="1" applyBorder="1"/>
    <xf numFmtId="168" fontId="0" fillId="0" borderId="2" xfId="1" applyNumberFormat="1" applyFont="1" applyBorder="1"/>
    <xf numFmtId="0" fontId="0" fillId="0" borderId="3" xfId="0" applyBorder="1" applyAlignment="1">
      <alignment horizontal="center"/>
    </xf>
    <xf numFmtId="168" fontId="0" fillId="0" borderId="4" xfId="1" applyNumberFormat="1" applyFont="1" applyBorder="1"/>
    <xf numFmtId="168" fontId="0" fillId="0" borderId="5" xfId="1" applyNumberFormat="1" applyFont="1" applyBorder="1"/>
    <xf numFmtId="168" fontId="0" fillId="3" borderId="0" xfId="0" applyNumberFormat="1" applyFill="1"/>
    <xf numFmtId="0" fontId="6" fillId="0" borderId="0" xfId="3"/>
    <xf numFmtId="0" fontId="2" fillId="0" borderId="0" xfId="0" applyFont="1" applyAlignment="1">
      <alignment horizontal="center"/>
    </xf>
    <xf numFmtId="0" fontId="6" fillId="2" borderId="0" xfId="3" applyFill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0" fillId="4" borderId="9" xfId="0" applyFill="1" applyBorder="1" applyAlignment="1">
      <alignment horizontal="right"/>
    </xf>
    <xf numFmtId="10" fontId="0" fillId="4" borderId="10" xfId="2" applyNumberFormat="1" applyFont="1" applyFill="1" applyBorder="1"/>
    <xf numFmtId="0" fontId="5" fillId="4" borderId="3" xfId="0" applyFont="1" applyFill="1" applyBorder="1" applyAlignment="1">
      <alignment horizontal="right"/>
    </xf>
    <xf numFmtId="10" fontId="0" fillId="4" borderId="5" xfId="2" applyNumberFormat="1" applyFont="1" applyFill="1" applyBorder="1"/>
    <xf numFmtId="0" fontId="0" fillId="4" borderId="11" xfId="0" applyFill="1" applyBorder="1" applyAlignment="1">
      <alignment horizontal="right"/>
    </xf>
    <xf numFmtId="10" fontId="0" fillId="4" borderId="12" xfId="0" applyNumberFormat="1" applyFill="1" applyBorder="1"/>
    <xf numFmtId="166" fontId="0" fillId="4" borderId="10" xfId="1" applyFont="1" applyFill="1" applyBorder="1"/>
    <xf numFmtId="0" fontId="0" fillId="4" borderId="3" xfId="0" applyFill="1" applyBorder="1" applyAlignment="1">
      <alignment horizontal="right"/>
    </xf>
    <xf numFmtId="166" fontId="0" fillId="4" borderId="5" xfId="1" applyFont="1" applyFill="1" applyBorder="1"/>
    <xf numFmtId="164" fontId="0" fillId="4" borderId="5" xfId="0" applyNumberFormat="1" applyFill="1" applyBorder="1"/>
    <xf numFmtId="164" fontId="0" fillId="4" borderId="5" xfId="1" applyNumberFormat="1" applyFont="1" applyFill="1" applyBorder="1"/>
    <xf numFmtId="169" fontId="0" fillId="4" borderId="10" xfId="0" applyNumberFormat="1" applyFill="1" applyBorder="1"/>
    <xf numFmtId="169" fontId="0" fillId="4" borderId="5" xfId="0" applyNumberFormat="1" applyFill="1" applyBorder="1"/>
    <xf numFmtId="2" fontId="0" fillId="4" borderId="12" xfId="0" applyNumberFormat="1" applyFill="1" applyBorder="1"/>
    <xf numFmtId="0" fontId="0" fillId="4" borderId="12" xfId="0" applyFill="1" applyBorder="1"/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166" fontId="0" fillId="4" borderId="10" xfId="0" applyNumberFormat="1" applyFill="1" applyBorder="1"/>
    <xf numFmtId="166" fontId="0" fillId="4" borderId="12" xfId="1" applyFont="1" applyFill="1" applyBorder="1"/>
    <xf numFmtId="166" fontId="0" fillId="4" borderId="12" xfId="0" applyNumberFormat="1" applyFill="1" applyBorder="1"/>
    <xf numFmtId="0" fontId="0" fillId="4" borderId="11" xfId="0" applyFill="1" applyBorder="1"/>
    <xf numFmtId="0" fontId="11" fillId="0" borderId="0" xfId="0" applyFont="1" applyAlignment="1">
      <alignment horizontal="right"/>
    </xf>
    <xf numFmtId="166" fontId="0" fillId="0" borderId="0" xfId="1" applyFont="1" applyFill="1" applyBorder="1"/>
    <xf numFmtId="14" fontId="0" fillId="0" borderId="0" xfId="0" applyNumberFormat="1"/>
    <xf numFmtId="165" fontId="0" fillId="0" borderId="0" xfId="4" applyFont="1"/>
    <xf numFmtId="170" fontId="0" fillId="4" borderId="10" xfId="0" applyNumberFormat="1" applyFill="1" applyBorder="1"/>
    <xf numFmtId="170" fontId="0" fillId="4" borderId="5" xfId="0" applyNumberFormat="1" applyFill="1" applyBorder="1"/>
    <xf numFmtId="10" fontId="0" fillId="4" borderId="12" xfId="2" applyNumberFormat="1" applyFont="1" applyFill="1" applyBorder="1"/>
    <xf numFmtId="165" fontId="0" fillId="0" borderId="0" xfId="0" applyNumberFormat="1"/>
    <xf numFmtId="165" fontId="0" fillId="4" borderId="12" xfId="4" applyFont="1" applyFill="1" applyBorder="1"/>
    <xf numFmtId="168" fontId="0" fillId="0" borderId="2" xfId="0" applyNumberFormat="1" applyBorder="1"/>
    <xf numFmtId="168" fontId="0" fillId="3" borderId="2" xfId="0" applyNumberFormat="1" applyFill="1" applyBorder="1"/>
    <xf numFmtId="168" fontId="0" fillId="3" borderId="5" xfId="0" applyNumberFormat="1" applyFill="1" applyBorder="1"/>
    <xf numFmtId="168" fontId="0" fillId="3" borderId="0" xfId="1" applyNumberFormat="1" applyFont="1" applyFill="1" applyBorder="1"/>
    <xf numFmtId="169" fontId="0" fillId="4" borderId="12" xfId="0" applyNumberFormat="1" applyFill="1" applyBorder="1"/>
    <xf numFmtId="168" fontId="0" fillId="4" borderId="10" xfId="1" applyNumberFormat="1" applyFont="1" applyFill="1" applyBorder="1"/>
    <xf numFmtId="168" fontId="0" fillId="4" borderId="5" xfId="0" applyNumberFormat="1" applyFill="1" applyBorder="1"/>
    <xf numFmtId="0" fontId="2" fillId="0" borderId="0" xfId="0" applyFont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68" fontId="0" fillId="4" borderId="12" xfId="1" applyNumberFormat="1" applyFont="1" applyFill="1" applyBorder="1"/>
    <xf numFmtId="165" fontId="0" fillId="4" borderId="10" xfId="4" applyFont="1" applyFill="1" applyBorder="1"/>
    <xf numFmtId="165" fontId="0" fillId="4" borderId="5" xfId="4" applyFont="1" applyFill="1" applyBorder="1"/>
    <xf numFmtId="0" fontId="14" fillId="0" borderId="0" xfId="0" applyFont="1" applyAlignment="1">
      <alignment horizontal="right"/>
    </xf>
    <xf numFmtId="0" fontId="6" fillId="0" borderId="0" xfId="3" applyFill="1" applyAlignment="1">
      <alignment horizontal="center"/>
    </xf>
    <xf numFmtId="169" fontId="0" fillId="0" borderId="0" xfId="0" applyNumberFormat="1"/>
    <xf numFmtId="169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171" fontId="0" fillId="4" borderId="12" xfId="0" applyNumberFormat="1" applyFill="1" applyBorder="1"/>
    <xf numFmtId="172" fontId="0" fillId="4" borderId="12" xfId="0" applyNumberFormat="1" applyFill="1" applyBorder="1"/>
    <xf numFmtId="168" fontId="0" fillId="0" borderId="0" xfId="0" applyNumberFormat="1"/>
    <xf numFmtId="0" fontId="15" fillId="0" borderId="0" xfId="0" applyFont="1"/>
    <xf numFmtId="0" fontId="15" fillId="0" borderId="0" xfId="0" applyFont="1" applyAlignment="1">
      <alignment horizontal="center"/>
    </xf>
    <xf numFmtId="0" fontId="15" fillId="4" borderId="11" xfId="0" applyFont="1" applyFill="1" applyBorder="1" applyAlignment="1">
      <alignment horizontal="right"/>
    </xf>
    <xf numFmtId="166" fontId="0" fillId="4" borderId="12" xfId="1" applyFont="1" applyFill="1" applyBorder="1" applyAlignment="1">
      <alignment vertical="center"/>
    </xf>
    <xf numFmtId="0" fontId="0" fillId="0" borderId="0" xfId="0" applyAlignment="1">
      <alignment vertical="center"/>
    </xf>
    <xf numFmtId="173" fontId="0" fillId="0" borderId="0" xfId="4" applyNumberFormat="1" applyFont="1"/>
    <xf numFmtId="0" fontId="2" fillId="4" borderId="0" xfId="0" applyFont="1" applyFill="1"/>
    <xf numFmtId="0" fontId="0" fillId="4" borderId="0" xfId="0" applyFill="1"/>
    <xf numFmtId="0" fontId="0" fillId="4" borderId="0" xfId="0" applyFill="1" applyAlignment="1">
      <alignment horizontal="right"/>
    </xf>
    <xf numFmtId="0" fontId="17" fillId="0" borderId="0" xfId="0" applyFont="1" applyAlignment="1">
      <alignment horizontal="right"/>
    </xf>
    <xf numFmtId="170" fontId="0" fillId="0" borderId="0" xfId="1" applyNumberFormat="1" applyFont="1"/>
    <xf numFmtId="166" fontId="0" fillId="4" borderId="0" xfId="0" applyNumberFormat="1" applyFill="1"/>
    <xf numFmtId="170" fontId="0" fillId="0" borderId="0" xfId="0" applyNumberFormat="1"/>
    <xf numFmtId="10" fontId="0" fillId="0" borderId="0" xfId="1" applyNumberFormat="1" applyFont="1"/>
    <xf numFmtId="9" fontId="0" fillId="0" borderId="0" xfId="1" applyNumberFormat="1" applyFont="1"/>
    <xf numFmtId="174" fontId="0" fillId="0" borderId="0" xfId="1" applyNumberFormat="1" applyFont="1"/>
    <xf numFmtId="0" fontId="2" fillId="0" borderId="0" xfId="0" applyFont="1" applyAlignment="1">
      <alignment horizontal="center"/>
    </xf>
    <xf numFmtId="0" fontId="2" fillId="5" borderId="0" xfId="0" applyFont="1" applyFill="1" applyAlignment="1">
      <alignment horizontal="center"/>
    </xf>
    <xf numFmtId="0" fontId="18" fillId="6" borderId="0" xfId="0" applyFont="1" applyFill="1" applyAlignment="1">
      <alignment horizontal="center"/>
    </xf>
  </cellXfs>
  <cellStyles count="5">
    <cellStyle name="Hipervínculo" xfId="3" builtinId="8"/>
    <cellStyle name="Millares" xfId="1" builtinId="3"/>
    <cellStyle name="Moneda" xfId="4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Convergencia del Saldo Acumulado</a:t>
            </a:r>
          </a:p>
        </c:rich>
      </c:tx>
      <c:layout>
        <c:manualLayout>
          <c:xMode val="edge"/>
          <c:yMode val="edge"/>
          <c:x val="0.21506233595800522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6035914260717413"/>
          <c:y val="0.17171296296296296"/>
          <c:w val="0.78883530183727035"/>
          <c:h val="0.67364209682123066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8.3333333333333332E-3"/>
                  <c:y val="9.2592592592592587E-3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9B8-4BEE-B5A5-17336967CDA6}"/>
                </c:ext>
              </c:extLst>
            </c:dLbl>
            <c:dLbl>
              <c:idx val="2"/>
              <c:layout>
                <c:manualLayout>
                  <c:x val="-8.3333333333333592E-3"/>
                  <c:y val="1.8518518518518517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9B8-4BEE-B5A5-17336967CDA6}"/>
                </c:ext>
              </c:extLst>
            </c:dLbl>
            <c:dLbl>
              <c:idx val="3"/>
              <c:layout>
                <c:manualLayout>
                  <c:x val="-8.3333333333333332E-3"/>
                  <c:y val="1.8518518518518517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9B8-4BEE-B5A5-17336967CDA6}"/>
                </c:ext>
              </c:extLst>
            </c:dLbl>
            <c:dLbl>
              <c:idx val="4"/>
              <c:layout>
                <c:manualLayout>
                  <c:x val="-5.5555555555555558E-3"/>
                  <c:y val="9.2592592592592587E-3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9B8-4BEE-B5A5-17336967CDA6}"/>
                </c:ext>
              </c:extLst>
            </c:dLbl>
            <c:dLbl>
              <c:idx val="5"/>
              <c:layout>
                <c:manualLayout>
                  <c:x val="-9.166666666666666E-2"/>
                  <c:y val="-5.0925925925925923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9B8-4BEE-B5A5-17336967CDA6}"/>
                </c:ext>
              </c:extLst>
            </c:dLbl>
            <c:dLbl>
              <c:idx val="6"/>
              <c:layout>
                <c:manualLayout>
                  <c:x val="-6.1111111111111109E-2"/>
                  <c:y val="5.0925925925925923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9B8-4BEE-B5A5-17336967CDA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r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'Conversión de tasas'!$C$36:$C$42</c:f>
              <c:numCache>
                <c:formatCode>_-* #,##0.00_-;\-* #,##0.00_-;_-* "-"??_-;_-@_-</c:formatCode>
                <c:ptCount val="7"/>
                <c:pt idx="0">
                  <c:v>0.25</c:v>
                </c:pt>
                <c:pt idx="1">
                  <c:v>0.5</c:v>
                </c:pt>
                <c:pt idx="2" formatCode="_-* #,##0_-;\-* #,##0_-;_-* &quot;-&quot;??_-;_-@_-">
                  <c:v>1</c:v>
                </c:pt>
                <c:pt idx="3" formatCode="_-* #,##0_-;\-* #,##0_-;_-* &quot;-&quot;??_-;_-@_-">
                  <c:v>2</c:v>
                </c:pt>
                <c:pt idx="4" formatCode="_-* #,##0_-;\-* #,##0_-;_-* &quot;-&quot;??_-;_-@_-">
                  <c:v>4</c:v>
                </c:pt>
                <c:pt idx="5" formatCode="_-* #,##0_-;\-* #,##0_-;_-* &quot;-&quot;??_-;_-@_-">
                  <c:v>12</c:v>
                </c:pt>
                <c:pt idx="6" formatCode="_-* #,##0_-;\-* #,##0_-;_-* &quot;-&quot;??_-;_-@_-">
                  <c:v>52</c:v>
                </c:pt>
              </c:numCache>
            </c:numRef>
          </c:xVal>
          <c:yVal>
            <c:numRef>
              <c:f>'Conversión de tasas'!$D$36:$D$42</c:f>
              <c:numCache>
                <c:formatCode>_-* #,##0_-;\-* #,##0_-;_-* "-"??_-;_-@_-</c:formatCode>
                <c:ptCount val="7"/>
                <c:pt idx="0">
                  <c:v>108775.73059372771</c:v>
                </c:pt>
                <c:pt idx="1">
                  <c:v>109544.51150103321</c:v>
                </c:pt>
                <c:pt idx="2">
                  <c:v>110000.00000000001</c:v>
                </c:pt>
                <c:pt idx="3">
                  <c:v>110250</c:v>
                </c:pt>
                <c:pt idx="4">
                  <c:v>110381.28906249997</c:v>
                </c:pt>
                <c:pt idx="5">
                  <c:v>110471.30674412969</c:v>
                </c:pt>
                <c:pt idx="6">
                  <c:v>110506.47927797658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9B8-4BEE-B5A5-17336967CDA6}"/>
            </c:ext>
          </c:extLst>
        </c:ser>
        <c:dLbls>
          <c:dLblPos val="r"/>
          <c:showLegendKey val="0"/>
          <c:showVal val="1"/>
          <c:showCatName val="1"/>
          <c:showSerName val="0"/>
          <c:showPercent val="0"/>
          <c:showBubbleSize val="0"/>
        </c:dLbls>
        <c:axId val="1080423087"/>
        <c:axId val="1080423503"/>
      </c:scatterChart>
      <c:valAx>
        <c:axId val="10804230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Reinversión de los intereses (veces al año)</a:t>
                </a:r>
              </a:p>
            </c:rich>
          </c:tx>
          <c:layout>
            <c:manualLayout>
              <c:xMode val="edge"/>
              <c:yMode val="edge"/>
              <c:x val="0.49347812773403327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_-* #,##0.00_-;\-* #,##0.00_-;_-* &quot;-&quot;??_-;_-@_-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80423503"/>
        <c:crosses val="autoZero"/>
        <c:crossBetween val="midCat"/>
      </c:valAx>
      <c:valAx>
        <c:axId val="10804235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Saldo Acmulado</a:t>
                </a:r>
              </a:p>
            </c:rich>
          </c:tx>
          <c:layout>
            <c:manualLayout>
              <c:xMode val="edge"/>
              <c:yMode val="edge"/>
              <c:x val="5.5555555555555558E-3"/>
              <c:y val="0.167457713619130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_-* #,##0_-;\-* #,##0_-;_-* &quot;-&quot;??_-;_-@_-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80423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6.emf"/><Relationship Id="rId1" Type="http://schemas.openxmlformats.org/officeDocument/2006/relationships/image" Target="../media/image5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emf"/><Relationship Id="rId1" Type="http://schemas.openxmlformats.org/officeDocument/2006/relationships/image" Target="../media/image9.emf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emf"/><Relationship Id="rId2" Type="http://schemas.openxmlformats.org/officeDocument/2006/relationships/image" Target="../media/image12.emf"/><Relationship Id="rId1" Type="http://schemas.openxmlformats.org/officeDocument/2006/relationships/image" Target="../media/image11.emf"/><Relationship Id="rId4" Type="http://schemas.openxmlformats.org/officeDocument/2006/relationships/image" Target="../media/image1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emf"/><Relationship Id="rId2" Type="http://schemas.openxmlformats.org/officeDocument/2006/relationships/image" Target="../media/image16.emf"/><Relationship Id="rId1" Type="http://schemas.openxmlformats.org/officeDocument/2006/relationships/image" Target="../media/image15.emf"/><Relationship Id="rId5" Type="http://schemas.openxmlformats.org/officeDocument/2006/relationships/image" Target="../media/image19.png"/><Relationship Id="rId4" Type="http://schemas.openxmlformats.org/officeDocument/2006/relationships/image" Target="../media/image18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em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em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emf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emf"/><Relationship Id="rId2" Type="http://schemas.openxmlformats.org/officeDocument/2006/relationships/image" Target="../media/image25.emf"/><Relationship Id="rId1" Type="http://schemas.openxmlformats.org/officeDocument/2006/relationships/image" Target="../media/image24.emf"/><Relationship Id="rId6" Type="http://schemas.openxmlformats.org/officeDocument/2006/relationships/image" Target="../media/image29.emf"/><Relationship Id="rId5" Type="http://schemas.openxmlformats.org/officeDocument/2006/relationships/image" Target="../media/image28.emf"/><Relationship Id="rId4" Type="http://schemas.openxmlformats.org/officeDocument/2006/relationships/image" Target="../media/image27.emf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2.emf"/><Relationship Id="rId2" Type="http://schemas.openxmlformats.org/officeDocument/2006/relationships/image" Target="../media/image31.emf"/><Relationship Id="rId1" Type="http://schemas.openxmlformats.org/officeDocument/2006/relationships/image" Target="../media/image30.emf"/><Relationship Id="rId6" Type="http://schemas.openxmlformats.org/officeDocument/2006/relationships/image" Target="../media/image35.emf"/><Relationship Id="rId5" Type="http://schemas.openxmlformats.org/officeDocument/2006/relationships/image" Target="../media/image34.emf"/><Relationship Id="rId4" Type="http://schemas.openxmlformats.org/officeDocument/2006/relationships/image" Target="../media/image33.emf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6.emf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44.emf"/><Relationship Id="rId3" Type="http://schemas.openxmlformats.org/officeDocument/2006/relationships/image" Target="../media/image39.emf"/><Relationship Id="rId7" Type="http://schemas.openxmlformats.org/officeDocument/2006/relationships/image" Target="../media/image43.emf"/><Relationship Id="rId12" Type="http://schemas.openxmlformats.org/officeDocument/2006/relationships/image" Target="../media/image48.emf"/><Relationship Id="rId2" Type="http://schemas.openxmlformats.org/officeDocument/2006/relationships/image" Target="../media/image38.emf"/><Relationship Id="rId1" Type="http://schemas.openxmlformats.org/officeDocument/2006/relationships/image" Target="../media/image37.emf"/><Relationship Id="rId6" Type="http://schemas.openxmlformats.org/officeDocument/2006/relationships/image" Target="../media/image42.emf"/><Relationship Id="rId11" Type="http://schemas.openxmlformats.org/officeDocument/2006/relationships/image" Target="../media/image47.emf"/><Relationship Id="rId5" Type="http://schemas.openxmlformats.org/officeDocument/2006/relationships/image" Target="../media/image41.emf"/><Relationship Id="rId10" Type="http://schemas.openxmlformats.org/officeDocument/2006/relationships/image" Target="../media/image46.emf"/><Relationship Id="rId4" Type="http://schemas.openxmlformats.org/officeDocument/2006/relationships/image" Target="../media/image40.emf"/><Relationship Id="rId9" Type="http://schemas.openxmlformats.org/officeDocument/2006/relationships/image" Target="../media/image45.emf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56.emf"/><Relationship Id="rId13" Type="http://schemas.openxmlformats.org/officeDocument/2006/relationships/image" Target="../media/image61.emf"/><Relationship Id="rId3" Type="http://schemas.openxmlformats.org/officeDocument/2006/relationships/image" Target="../media/image51.emf"/><Relationship Id="rId7" Type="http://schemas.openxmlformats.org/officeDocument/2006/relationships/image" Target="../media/image55.emf"/><Relationship Id="rId12" Type="http://schemas.openxmlformats.org/officeDocument/2006/relationships/image" Target="../media/image60.emf"/><Relationship Id="rId2" Type="http://schemas.openxmlformats.org/officeDocument/2006/relationships/image" Target="../media/image50.emf"/><Relationship Id="rId16" Type="http://schemas.openxmlformats.org/officeDocument/2006/relationships/image" Target="../media/image64.emf"/><Relationship Id="rId1" Type="http://schemas.openxmlformats.org/officeDocument/2006/relationships/image" Target="../media/image49.emf"/><Relationship Id="rId6" Type="http://schemas.openxmlformats.org/officeDocument/2006/relationships/image" Target="../media/image54.emf"/><Relationship Id="rId11" Type="http://schemas.openxmlformats.org/officeDocument/2006/relationships/image" Target="../media/image59.emf"/><Relationship Id="rId5" Type="http://schemas.openxmlformats.org/officeDocument/2006/relationships/image" Target="../media/image53.emf"/><Relationship Id="rId15" Type="http://schemas.openxmlformats.org/officeDocument/2006/relationships/image" Target="../media/image63.emf"/><Relationship Id="rId10" Type="http://schemas.openxmlformats.org/officeDocument/2006/relationships/image" Target="../media/image58.emf"/><Relationship Id="rId4" Type="http://schemas.openxmlformats.org/officeDocument/2006/relationships/image" Target="../media/image52.emf"/><Relationship Id="rId9" Type="http://schemas.openxmlformats.org/officeDocument/2006/relationships/image" Target="../media/image57.emf"/><Relationship Id="rId14" Type="http://schemas.openxmlformats.org/officeDocument/2006/relationships/image" Target="../media/image62.emf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7.emf"/><Relationship Id="rId2" Type="http://schemas.openxmlformats.org/officeDocument/2006/relationships/image" Target="../media/image66.emf"/><Relationship Id="rId1" Type="http://schemas.openxmlformats.org/officeDocument/2006/relationships/image" Target="../media/image65.emf"/><Relationship Id="rId5" Type="http://schemas.openxmlformats.org/officeDocument/2006/relationships/image" Target="../media/image69.emf"/><Relationship Id="rId4" Type="http://schemas.openxmlformats.org/officeDocument/2006/relationships/image" Target="../media/image6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1</xdr:row>
      <xdr:rowOff>171450</xdr:rowOff>
    </xdr:from>
    <xdr:to>
      <xdr:col>3</xdr:col>
      <xdr:colOff>57150</xdr:colOff>
      <xdr:row>5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" y="361950"/>
          <a:ext cx="2533650" cy="60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971550</xdr:colOff>
      <xdr:row>33</xdr:row>
      <xdr:rowOff>57150</xdr:rowOff>
    </xdr:from>
    <xdr:to>
      <xdr:col>10</xdr:col>
      <xdr:colOff>495300</xdr:colOff>
      <xdr:row>47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2</xdr:row>
      <xdr:rowOff>0</xdr:rowOff>
    </xdr:from>
    <xdr:to>
      <xdr:col>3</xdr:col>
      <xdr:colOff>419100</xdr:colOff>
      <xdr:row>3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125" y="190500"/>
          <a:ext cx="181927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114300</xdr:colOff>
      <xdr:row>11</xdr:row>
      <xdr:rowOff>152400</xdr:rowOff>
    </xdr:from>
    <xdr:to>
      <xdr:col>4</xdr:col>
      <xdr:colOff>219075</xdr:colOff>
      <xdr:row>13</xdr:row>
      <xdr:rowOff>104775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2705100"/>
          <a:ext cx="25050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95250</xdr:colOff>
      <xdr:row>23</xdr:row>
      <xdr:rowOff>133350</xdr:rowOff>
    </xdr:from>
    <xdr:to>
      <xdr:col>3</xdr:col>
      <xdr:colOff>180242</xdr:colOff>
      <xdr:row>25</xdr:row>
      <xdr:rowOff>152400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0" y="4581525"/>
          <a:ext cx="1723292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1</xdr:row>
      <xdr:rowOff>19050</xdr:rowOff>
    </xdr:from>
    <xdr:to>
      <xdr:col>5</xdr:col>
      <xdr:colOff>466725</xdr:colOff>
      <xdr:row>4</xdr:row>
      <xdr:rowOff>4202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19050"/>
          <a:ext cx="3248025" cy="54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238125</xdr:colOff>
      <xdr:row>11</xdr:row>
      <xdr:rowOff>57150</xdr:rowOff>
    </xdr:from>
    <xdr:to>
      <xdr:col>6</xdr:col>
      <xdr:colOff>323850</xdr:colOff>
      <xdr:row>14</xdr:row>
      <xdr:rowOff>69251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125" y="2324100"/>
          <a:ext cx="3895725" cy="5836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704850</xdr:colOff>
      <xdr:row>24</xdr:row>
      <xdr:rowOff>95250</xdr:rowOff>
    </xdr:from>
    <xdr:to>
      <xdr:col>3</xdr:col>
      <xdr:colOff>723900</xdr:colOff>
      <xdr:row>27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543425"/>
          <a:ext cx="230505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466726</xdr:colOff>
      <xdr:row>1</xdr:row>
      <xdr:rowOff>66675</xdr:rowOff>
    </xdr:from>
    <xdr:to>
      <xdr:col>2</xdr:col>
      <xdr:colOff>1000126</xdr:colOff>
      <xdr:row>4</xdr:row>
      <xdr:rowOff>100764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6" y="66675"/>
          <a:ext cx="1295400" cy="681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1</xdr:row>
      <xdr:rowOff>28576</xdr:rowOff>
    </xdr:from>
    <xdr:to>
      <xdr:col>2</xdr:col>
      <xdr:colOff>790575</xdr:colOff>
      <xdr:row>4</xdr:row>
      <xdr:rowOff>138458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50" y="28576"/>
          <a:ext cx="1190625" cy="6813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47625</xdr:colOff>
      <xdr:row>12</xdr:row>
      <xdr:rowOff>57150</xdr:rowOff>
    </xdr:from>
    <xdr:to>
      <xdr:col>3</xdr:col>
      <xdr:colOff>693737</xdr:colOff>
      <xdr:row>14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" y="2438400"/>
          <a:ext cx="2305050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1</xdr:row>
      <xdr:rowOff>47625</xdr:rowOff>
    </xdr:from>
    <xdr:to>
      <xdr:col>6</xdr:col>
      <xdr:colOff>257175</xdr:colOff>
      <xdr:row>4</xdr:row>
      <xdr:rowOff>38100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47625"/>
          <a:ext cx="4257675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628650</xdr:colOff>
      <xdr:row>17</xdr:row>
      <xdr:rowOff>104775</xdr:rowOff>
    </xdr:from>
    <xdr:to>
      <xdr:col>7</xdr:col>
      <xdr:colOff>433327</xdr:colOff>
      <xdr:row>20</xdr:row>
      <xdr:rowOff>163127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6">
              <a:extLst>
                <a:ext uri="{FF2B5EF4-FFF2-40B4-BE49-F238E27FC236}">
                  <a16:creationId xmlns:a16="http://schemas.microsoft.com/office/drawing/2014/main" id="{A7AC6F41-C205-4C72-89A3-DC99C9C6268A}"/>
                </a:ext>
              </a:extLst>
            </xdr:cNvPr>
            <xdr:cNvSpPr txBox="1"/>
          </xdr:nvSpPr>
          <xdr:spPr>
            <a:xfrm>
              <a:off x="628650" y="3562350"/>
              <a:ext cx="5262502" cy="629852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s-MX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s-MX" i="1" kern="0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𝑀𝑜𝑛𝑡𝑜</m:t>
                    </m:r>
                    <m:r>
                      <a:rPr lang="es-MX" i="1" kern="0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r>
                      <a:rPr lang="es-MX" i="1" kern="0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𝑅</m:t>
                    </m:r>
                    <m:r>
                      <a:rPr lang="es-MX" i="1" kern="0">
                        <a:solidFill>
                          <a:srgbClr val="00000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b>
                      <m:sSubPr>
                        <m:ctrlPr>
                          <a:rPr lang="es-MX" i="1" kern="0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̈"/>
                            <m:ctrlPr>
                              <a:rPr lang="es-MX" i="1" kern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s-MX" i="1" kern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𝑆</m:t>
                            </m:r>
                          </m:e>
                        </m:acc>
                      </m:e>
                      <m:sub>
                        <m:r>
                          <a:rPr lang="es-MX" i="1" kern="0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  <m:r>
                          <a:rPr lang="es-MX" b="0" i="1" kern="0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𝑚</m:t>
                        </m:r>
                        <m:r>
                          <a:rPr lang="es-MX" i="1" kern="0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 </m:t>
                        </m:r>
                        <m:r>
                          <a:rPr lang="es-MX" i="1" kern="0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s-MX" b="0" i="1" kern="0">
                        <a:solidFill>
                          <a:srgbClr val="00000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kumimoji="0" lang="es-MX" sz="1800" b="0" i="1" u="none" strike="noStrike" kern="0" cap="none" spc="0" normalizeH="0" baseline="0">
                        <a:ln>
                          <a:noFill/>
                        </a:ln>
                        <a:solidFill>
                          <a:srgbClr val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𝑅</m:t>
                    </m:r>
                    <m:r>
                      <a:rPr kumimoji="0" lang="es-MX" sz="1800" b="0" i="1" u="none" strike="noStrike" kern="0" cap="none" spc="0" normalizeH="0" baseline="0">
                        <a:ln>
                          <a:noFill/>
                        </a:ln>
                        <a:solidFill>
                          <a:srgbClr val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×</m:t>
                    </m:r>
                    <m:f>
                      <m:fPr>
                        <m:ctrlPr>
                          <a:rPr kumimoji="0" lang="es-MX" sz="1800" b="0" i="1" u="none" strike="noStrike" kern="0" cap="none" spc="0" normalizeH="0" baseline="0">
                            <a:ln>
                              <a:noFill/>
                            </a:ln>
                            <a:solidFill>
                              <a:srgbClr val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kumimoji="0" lang="es-MX" sz="1800" b="0" i="1" u="none" strike="noStrike" kern="0" cap="none" spc="0" normalizeH="0" baseline="0">
                                <a:ln>
                                  <a:noFill/>
                                </a:ln>
                                <a:solidFill>
                                  <a:srgbClr val="000000"/>
                                </a:solidFill>
                                <a:effectLst/>
                                <a:uLnTx/>
                                <a:uFillTx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kumimoji="0" lang="es-MX" sz="1800" b="0" i="1" u="none" strike="noStrike" kern="0" cap="none" spc="0" normalizeH="0" baseline="0">
                                    <a:ln>
                                      <a:noFill/>
                                    </a:ln>
                                    <a:solidFill>
                                      <a:srgbClr val="000000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kumimoji="0" lang="es-MX" sz="1800" b="0" i="1" u="none" strike="noStrike" kern="0" cap="none" spc="0" normalizeH="0" baseline="0">
                                    <a:ln>
                                      <a:noFill/>
                                    </a:ln>
                                    <a:solidFill>
                                      <a:srgbClr val="000000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1+</m:t>
                                </m:r>
                                <m:r>
                                  <a:rPr kumimoji="0" lang="es-MX" sz="1800" b="0" i="1" u="none" strike="noStrike" kern="0" cap="none" spc="0" normalizeH="0" baseline="0">
                                    <a:ln>
                                      <a:noFill/>
                                    </a:ln>
                                    <a:solidFill>
                                      <a:srgbClr val="000000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𝑖</m:t>
                                </m:r>
                              </m:e>
                            </m:d>
                          </m:e>
                          <m:sup>
                            <m:r>
                              <a:rPr kumimoji="0" lang="es-MX" sz="1800" b="0" i="1" u="none" strike="noStrike" kern="0" cap="none" spc="0" normalizeH="0" baseline="0">
                                <a:ln>
                                  <a:noFill/>
                                </a:ln>
                                <a:solidFill>
                                  <a:srgbClr val="000000"/>
                                </a:solidFill>
                                <a:effectLst/>
                                <a:uLnTx/>
                                <a:uFillTx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𝑛𝑚</m:t>
                            </m:r>
                          </m:sup>
                        </m:sSup>
                        <m:r>
                          <a:rPr kumimoji="0" lang="es-MX" sz="1800" b="0" i="1" u="none" strike="noStrike" kern="0" cap="none" spc="0" normalizeH="0" baseline="0">
                            <a:ln>
                              <a:noFill/>
                            </a:ln>
                            <a:solidFill>
                              <a:srgbClr val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−1</m:t>
                        </m:r>
                      </m:num>
                      <m:den>
                        <m:r>
                          <a:rPr kumimoji="0" lang="es-MX" sz="1800" b="0" i="1" u="none" strike="noStrike" kern="0" cap="none" spc="0" normalizeH="0" baseline="0">
                            <a:ln>
                              <a:noFill/>
                            </a:ln>
                            <a:solidFill>
                              <a:srgbClr val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den>
                    </m:f>
                    <m:r>
                      <a:rPr kumimoji="0" lang="es-MX" sz="1800" b="0" i="1" u="none" strike="noStrike" kern="0" cap="none" spc="0" normalizeH="0" baseline="0">
                        <a:ln>
                          <a:noFill/>
                        </a:ln>
                        <a:solidFill>
                          <a:srgbClr val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×</m:t>
                    </m:r>
                    <m:d>
                      <m:dPr>
                        <m:ctrlPr>
                          <a:rPr kumimoji="0" lang="es-MX" sz="1800" b="0" i="1" u="none" strike="noStrike" kern="0" cap="none" spc="0" normalizeH="0" baseline="0">
                            <a:ln>
                              <a:noFill/>
                            </a:ln>
                            <a:solidFill>
                              <a:srgbClr val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dPr>
                      <m:e>
                        <m:r>
                          <a:rPr kumimoji="0" lang="es-MX" sz="1800" b="0" i="1" u="none" strike="noStrike" kern="0" cap="none" spc="0" normalizeH="0" baseline="0">
                            <a:ln>
                              <a:noFill/>
                            </a:ln>
                            <a:solidFill>
                              <a:srgbClr val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1+</m:t>
                        </m:r>
                        <m:r>
                          <a:rPr kumimoji="0" lang="es-MX" sz="1800" b="0" i="1" u="none" strike="noStrike" kern="0" cap="none" spc="0" normalizeH="0" baseline="0">
                            <a:ln>
                              <a:noFill/>
                            </a:ln>
                            <a:solidFill>
                              <a:srgbClr val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𝑖</m:t>
                        </m:r>
                      </m:e>
                    </m:d>
                  </m:oMath>
                </m:oMathPara>
              </a14:m>
              <a:endParaRPr lang="es-MX" sz="1800" b="0">
                <a:latin typeface="Verdana" panose="020B0604030504040204" pitchFamily="34" charset="0"/>
                <a:ea typeface="Verdan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4" name="CuadroTexto 6">
              <a:extLst>
                <a:ext uri="{FF2B5EF4-FFF2-40B4-BE49-F238E27FC236}">
                  <a16:creationId xmlns:a16="http://schemas.microsoft.com/office/drawing/2014/main" id="{A7AC6F41-C205-4C72-89A3-DC99C9C6268A}"/>
                </a:ext>
              </a:extLst>
            </xdr:cNvPr>
            <xdr:cNvSpPr txBox="1"/>
          </xdr:nvSpPr>
          <xdr:spPr>
            <a:xfrm>
              <a:off x="628650" y="3562350"/>
              <a:ext cx="5262502" cy="629852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s-MX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i="0" kern="0">
                  <a:solidFill>
                    <a:srgbClr val="000000"/>
                  </a:solidFill>
                  <a:latin typeface="Cambria Math" panose="02040503050406030204" pitchFamily="18" charset="0"/>
                </a:rPr>
                <a:t>𝑀𝑜𝑛𝑡𝑜=𝑅</a:t>
              </a:r>
              <a:r>
                <a:rPr lang="es-MX" i="0" kern="0">
                  <a:solidFill>
                    <a:srgbClr val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×𝑆 ̈_(𝑛</a:t>
              </a:r>
              <a:r>
                <a:rPr lang="es-MX" b="0" i="0" kern="0">
                  <a:solidFill>
                    <a:srgbClr val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𝑚</a:t>
              </a:r>
              <a:r>
                <a:rPr lang="es-MX" i="0" kern="0">
                  <a:solidFill>
                    <a:srgbClr val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  𝑖)</a:t>
              </a:r>
              <a:r>
                <a:rPr lang="es-MX" b="0" i="0" kern="0">
                  <a:solidFill>
                    <a:srgbClr val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r>
                <a:rPr kumimoji="0" lang="es-MX" sz="1800" b="0" i="0" u="none" strike="noStrike" kern="0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𝑅</a:t>
              </a:r>
              <a:r>
                <a:rPr kumimoji="0" lang="es-MX" sz="1800" b="0" i="0" u="none" strike="noStrike" kern="0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×</a:t>
              </a:r>
              <a:r>
                <a:rPr kumimoji="0" lang="es-MX" sz="1800" b="0" i="0" u="none" strike="noStrike" kern="0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((1+𝑖)^𝑛𝑚−1)/𝑖</a:t>
              </a:r>
              <a:r>
                <a:rPr kumimoji="0" lang="es-MX" sz="1800" b="0" i="0" u="none" strike="noStrike" kern="0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×(1+𝑖)</a:t>
              </a:r>
              <a:endParaRPr lang="es-MX" sz="1800" b="0">
                <a:latin typeface="Verdana" panose="020B0604030504040204" pitchFamily="34" charset="0"/>
                <a:ea typeface="Verdana" panose="020B0604030504040204" pitchFamily="34" charset="0"/>
              </a:endParaRPr>
            </a:p>
          </xdr:txBody>
        </xdr:sp>
      </mc:Fallback>
    </mc:AlternateContent>
    <xdr:clientData/>
  </xdr:twoCellAnchor>
  <xdr:twoCellAnchor editAs="oneCell">
    <xdr:from>
      <xdr:col>1</xdr:col>
      <xdr:colOff>171450</xdr:colOff>
      <xdr:row>35</xdr:row>
      <xdr:rowOff>123825</xdr:rowOff>
    </xdr:from>
    <xdr:to>
      <xdr:col>6</xdr:col>
      <xdr:colOff>28575</xdr:colOff>
      <xdr:row>38</xdr:row>
      <xdr:rowOff>166205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F42F516-A712-4BA6-AA71-CC8EA16BB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81850"/>
          <a:ext cx="3667125" cy="613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123825</xdr:colOff>
      <xdr:row>35</xdr:row>
      <xdr:rowOff>151533</xdr:rowOff>
    </xdr:from>
    <xdr:to>
      <xdr:col>9</xdr:col>
      <xdr:colOff>454029</xdr:colOff>
      <xdr:row>38</xdr:row>
      <xdr:rowOff>142875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EDF96AD-69D4-4AB0-96E9-691B21935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1650" y="7209558"/>
          <a:ext cx="2063754" cy="5628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476250</xdr:colOff>
      <xdr:row>56</xdr:row>
      <xdr:rowOff>114300</xdr:rowOff>
    </xdr:from>
    <xdr:to>
      <xdr:col>3</xdr:col>
      <xdr:colOff>314325</xdr:colOff>
      <xdr:row>60</xdr:row>
      <xdr:rowOff>4829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5F8F9A-6C93-47D5-9531-1C55E9EE9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38250" y="11315700"/>
          <a:ext cx="1362075" cy="652529"/>
        </a:xfrm>
        <a:prstGeom prst="rect">
          <a:avLst/>
        </a:prstGeom>
      </xdr:spPr>
    </xdr:pic>
    <xdr:clientData/>
  </xdr:twoCellAnchor>
  <xdr:oneCellAnchor>
    <xdr:from>
      <xdr:col>1</xdr:col>
      <xdr:colOff>47625</xdr:colOff>
      <xdr:row>68</xdr:row>
      <xdr:rowOff>14286</xdr:rowOff>
    </xdr:from>
    <xdr:ext cx="676275" cy="2524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F11970D-1813-4AAF-BCA6-C99DFCC6D7D9}"/>
                </a:ext>
              </a:extLst>
            </xdr:cNvPr>
            <xdr:cNvSpPr txBox="1"/>
          </xdr:nvSpPr>
          <xdr:spPr>
            <a:xfrm>
              <a:off x="809625" y="13530261"/>
              <a:ext cx="676275" cy="2524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</m:acc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𝑛𝑝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 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F11970D-1813-4AAF-BCA6-C99DFCC6D7D9}"/>
                </a:ext>
              </a:extLst>
            </xdr:cNvPr>
            <xdr:cNvSpPr txBox="1"/>
          </xdr:nvSpPr>
          <xdr:spPr>
            <a:xfrm>
              <a:off x="809625" y="13530261"/>
              <a:ext cx="676275" cy="2524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𝑆 ̅_(𝑛𝑝   𝑖)  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endParaRPr lang="en-US" sz="1100"/>
            </a:p>
          </xdr:txBody>
        </xdr:sp>
      </mc:Fallback>
    </mc:AlternateContent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1</xdr:row>
      <xdr:rowOff>28575</xdr:rowOff>
    </xdr:from>
    <xdr:to>
      <xdr:col>5</xdr:col>
      <xdr:colOff>561975</xdr:colOff>
      <xdr:row>4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19075"/>
          <a:ext cx="4086225" cy="58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142875</xdr:colOff>
      <xdr:row>30</xdr:row>
      <xdr:rowOff>28575</xdr:rowOff>
    </xdr:from>
    <xdr:to>
      <xdr:col>4</xdr:col>
      <xdr:colOff>180975</xdr:colOff>
      <xdr:row>33</xdr:row>
      <xdr:rowOff>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875" y="2771775"/>
          <a:ext cx="2971800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85725</xdr:colOff>
      <xdr:row>16</xdr:row>
      <xdr:rowOff>76200</xdr:rowOff>
    </xdr:from>
    <xdr:to>
      <xdr:col>4</xdr:col>
      <xdr:colOff>638175</xdr:colOff>
      <xdr:row>19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5" y="2962275"/>
          <a:ext cx="3486150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333375</xdr:colOff>
      <xdr:row>46</xdr:row>
      <xdr:rowOff>133350</xdr:rowOff>
    </xdr:from>
    <xdr:to>
      <xdr:col>5</xdr:col>
      <xdr:colOff>304800</xdr:colOff>
      <xdr:row>50</xdr:row>
      <xdr:rowOff>38100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89B64C1-A983-479A-B9F6-FC2FE1F2B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9439275"/>
          <a:ext cx="3667125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247650</xdr:colOff>
      <xdr:row>69</xdr:row>
      <xdr:rowOff>9525</xdr:rowOff>
    </xdr:from>
    <xdr:to>
      <xdr:col>3</xdr:col>
      <xdr:colOff>371188</xdr:colOff>
      <xdr:row>71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F960859-1C50-4357-B379-5BA865353A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b="63966"/>
        <a:stretch/>
      </xdr:blipFill>
      <xdr:spPr>
        <a:xfrm>
          <a:off x="1009650" y="13868400"/>
          <a:ext cx="2295238" cy="466725"/>
        </a:xfrm>
        <a:prstGeom prst="rect">
          <a:avLst/>
        </a:prstGeom>
      </xdr:spPr>
    </xdr:pic>
    <xdr:clientData/>
  </xdr:twoCellAnchor>
  <xdr:twoCellAnchor editAs="oneCell">
    <xdr:from>
      <xdr:col>2</xdr:col>
      <xdr:colOff>1200150</xdr:colOff>
      <xdr:row>68</xdr:row>
      <xdr:rowOff>9525</xdr:rowOff>
    </xdr:from>
    <xdr:to>
      <xdr:col>5</xdr:col>
      <xdr:colOff>66388</xdr:colOff>
      <xdr:row>72</xdr:row>
      <xdr:rowOff>104613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74E58E0-B101-41F6-85ED-D0F3AD6D6E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21580" t="33828"/>
        <a:stretch/>
      </xdr:blipFill>
      <xdr:spPr>
        <a:xfrm>
          <a:off x="2724150" y="13677900"/>
          <a:ext cx="1799938" cy="85708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1</xdr:row>
      <xdr:rowOff>19050</xdr:rowOff>
    </xdr:from>
    <xdr:to>
      <xdr:col>4</xdr:col>
      <xdr:colOff>1114425</xdr:colOff>
      <xdr:row>4</xdr:row>
      <xdr:rowOff>28575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247650"/>
          <a:ext cx="4086225" cy="58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523875</xdr:colOff>
      <xdr:row>1</xdr:row>
      <xdr:rowOff>95250</xdr:rowOff>
    </xdr:from>
    <xdr:to>
      <xdr:col>6</xdr:col>
      <xdr:colOff>438150</xdr:colOff>
      <xdr:row>4</xdr:row>
      <xdr:rowOff>12979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285750"/>
          <a:ext cx="4791075" cy="4892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1</xdr:row>
      <xdr:rowOff>85725</xdr:rowOff>
    </xdr:from>
    <xdr:to>
      <xdr:col>5</xdr:col>
      <xdr:colOff>142875</xdr:colOff>
      <xdr:row>5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975" y="85725"/>
          <a:ext cx="332422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561975</xdr:colOff>
      <xdr:row>1</xdr:row>
      <xdr:rowOff>95250</xdr:rowOff>
    </xdr:from>
    <xdr:to>
      <xdr:col>3</xdr:col>
      <xdr:colOff>619125</xdr:colOff>
      <xdr:row>3</xdr:row>
      <xdr:rowOff>171450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3975" y="323850"/>
          <a:ext cx="24574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342900</xdr:colOff>
      <xdr:row>2</xdr:row>
      <xdr:rowOff>28576</xdr:rowOff>
    </xdr:from>
    <xdr:to>
      <xdr:col>4</xdr:col>
      <xdr:colOff>180975</xdr:colOff>
      <xdr:row>5</xdr:row>
      <xdr:rowOff>48742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" y="409576"/>
          <a:ext cx="3438525" cy="5916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885825</xdr:colOff>
      <xdr:row>1</xdr:row>
      <xdr:rowOff>9525</xdr:rowOff>
    </xdr:from>
    <xdr:to>
      <xdr:col>2</xdr:col>
      <xdr:colOff>257175</xdr:colOff>
      <xdr:row>4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7825" y="200025"/>
          <a:ext cx="828675" cy="58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914400</xdr:colOff>
      <xdr:row>14</xdr:row>
      <xdr:rowOff>57150</xdr:rowOff>
    </xdr:from>
    <xdr:to>
      <xdr:col>3</xdr:col>
      <xdr:colOff>0</xdr:colOff>
      <xdr:row>17</xdr:row>
      <xdr:rowOff>83003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0" y="2381250"/>
          <a:ext cx="1485900" cy="60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1053913</xdr:colOff>
      <xdr:row>26</xdr:row>
      <xdr:rowOff>82924</xdr:rowOff>
    </xdr:from>
    <xdr:to>
      <xdr:col>5</xdr:col>
      <xdr:colOff>558163</xdr:colOff>
      <xdr:row>28</xdr:row>
      <xdr:rowOff>121341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5913" y="4632512"/>
          <a:ext cx="3594397" cy="4230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1095375</xdr:colOff>
      <xdr:row>28</xdr:row>
      <xdr:rowOff>133350</xdr:rowOff>
    </xdr:from>
    <xdr:to>
      <xdr:col>2</xdr:col>
      <xdr:colOff>718050</xdr:colOff>
      <xdr:row>31</xdr:row>
      <xdr:rowOff>1858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" y="5124450"/>
          <a:ext cx="1080000" cy="4427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1019175</xdr:colOff>
      <xdr:row>54</xdr:row>
      <xdr:rowOff>76200</xdr:rowOff>
    </xdr:from>
    <xdr:to>
      <xdr:col>5</xdr:col>
      <xdr:colOff>19425</xdr:colOff>
      <xdr:row>56</xdr:row>
      <xdr:rowOff>162516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0210800"/>
          <a:ext cx="3096000" cy="51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1076325</xdr:colOff>
      <xdr:row>57</xdr:row>
      <xdr:rowOff>161939</xdr:rowOff>
    </xdr:from>
    <xdr:to>
      <xdr:col>3</xdr:col>
      <xdr:colOff>728025</xdr:colOff>
      <xdr:row>60</xdr:row>
      <xdr:rowOff>34284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8325" y="10906139"/>
          <a:ext cx="2052000" cy="4438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165652</xdr:rowOff>
    </xdr:from>
    <xdr:to>
      <xdr:col>5</xdr:col>
      <xdr:colOff>35615</xdr:colOff>
      <xdr:row>3</xdr:row>
      <xdr:rowOff>57717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6152"/>
          <a:ext cx="3423202" cy="273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</xdr:row>
      <xdr:rowOff>163581</xdr:rowOff>
    </xdr:from>
    <xdr:to>
      <xdr:col>4</xdr:col>
      <xdr:colOff>301891</xdr:colOff>
      <xdr:row>16</xdr:row>
      <xdr:rowOff>154930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32407"/>
          <a:ext cx="3076565" cy="5628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23605</xdr:colOff>
      <xdr:row>16</xdr:row>
      <xdr:rowOff>173112</xdr:rowOff>
    </xdr:from>
    <xdr:to>
      <xdr:col>4</xdr:col>
      <xdr:colOff>71096</xdr:colOff>
      <xdr:row>19</xdr:row>
      <xdr:rowOff>129571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518" y="3113438"/>
          <a:ext cx="2209252" cy="5279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49695</xdr:colOff>
      <xdr:row>23</xdr:row>
      <xdr:rowOff>8283</xdr:rowOff>
    </xdr:from>
    <xdr:to>
      <xdr:col>3</xdr:col>
      <xdr:colOff>443934</xdr:colOff>
      <xdr:row>24</xdr:row>
      <xdr:rowOff>24103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695" y="4472609"/>
          <a:ext cx="2556000" cy="206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157371</xdr:colOff>
      <xdr:row>31</xdr:row>
      <xdr:rowOff>16566</xdr:rowOff>
    </xdr:from>
    <xdr:to>
      <xdr:col>4</xdr:col>
      <xdr:colOff>248479</xdr:colOff>
      <xdr:row>33</xdr:row>
      <xdr:rowOff>82758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371" y="6087718"/>
          <a:ext cx="2865782" cy="4471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91110</xdr:colOff>
      <xdr:row>34</xdr:row>
      <xdr:rowOff>41412</xdr:rowOff>
    </xdr:from>
    <xdr:to>
      <xdr:col>3</xdr:col>
      <xdr:colOff>579783</xdr:colOff>
      <xdr:row>36</xdr:row>
      <xdr:rowOff>134247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023" y="6684064"/>
          <a:ext cx="2037521" cy="4738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428625</xdr:colOff>
      <xdr:row>1</xdr:row>
      <xdr:rowOff>142875</xdr:rowOff>
    </xdr:from>
    <xdr:to>
      <xdr:col>3</xdr:col>
      <xdr:colOff>76200</xdr:colOff>
      <xdr:row>3</xdr:row>
      <xdr:rowOff>176420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333375"/>
          <a:ext cx="866775" cy="414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</xdr:colOff>
      <xdr:row>2</xdr:row>
      <xdr:rowOff>0</xdr:rowOff>
    </xdr:from>
    <xdr:to>
      <xdr:col>3</xdr:col>
      <xdr:colOff>510540</xdr:colOff>
      <xdr:row>3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B4B20C-E52C-5BEB-5D8B-5E9DDEB57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" y="365760"/>
          <a:ext cx="16764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99060</xdr:colOff>
      <xdr:row>1</xdr:row>
      <xdr:rowOff>152400</xdr:rowOff>
    </xdr:from>
    <xdr:to>
      <xdr:col>11</xdr:col>
      <xdr:colOff>91440</xdr:colOff>
      <xdr:row>3</xdr:row>
      <xdr:rowOff>121920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910D48-716A-F0C6-7C97-55DDBC611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5460" y="335280"/>
          <a:ext cx="1211580" cy="335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594360</xdr:colOff>
      <xdr:row>14</xdr:row>
      <xdr:rowOff>60960</xdr:rowOff>
    </xdr:from>
    <xdr:to>
      <xdr:col>4</xdr:col>
      <xdr:colOff>388620</xdr:colOff>
      <xdr:row>16</xdr:row>
      <xdr:rowOff>15240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8BCE659-FC9D-1757-4712-E61971D8B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4360" y="2636520"/>
          <a:ext cx="223266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198120</xdr:colOff>
      <xdr:row>14</xdr:row>
      <xdr:rowOff>106680</xdr:rowOff>
    </xdr:from>
    <xdr:to>
      <xdr:col>11</xdr:col>
      <xdr:colOff>601980</xdr:colOff>
      <xdr:row>16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86E951A-5F6E-87BB-0180-10BC6D668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4520" y="2682240"/>
          <a:ext cx="162306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38100</xdr:colOff>
      <xdr:row>27</xdr:row>
      <xdr:rowOff>152400</xdr:rowOff>
    </xdr:from>
    <xdr:to>
      <xdr:col>3</xdr:col>
      <xdr:colOff>335280</xdr:colOff>
      <xdr:row>30</xdr:row>
      <xdr:rowOff>140215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FCBD0DC-6C99-451E-5BE6-90EEDCB6D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5120640"/>
          <a:ext cx="1516380" cy="5364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342900</xdr:colOff>
      <xdr:row>28</xdr:row>
      <xdr:rowOff>114300</xdr:rowOff>
    </xdr:from>
    <xdr:to>
      <xdr:col>11</xdr:col>
      <xdr:colOff>548640</xdr:colOff>
      <xdr:row>30</xdr:row>
      <xdr:rowOff>15240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776516B-6509-7508-CE23-BEE4510F1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9300" y="5265420"/>
          <a:ext cx="142494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76200</xdr:colOff>
      <xdr:row>42</xdr:row>
      <xdr:rowOff>22860</xdr:rowOff>
    </xdr:from>
    <xdr:to>
      <xdr:col>3</xdr:col>
      <xdr:colOff>358140</xdr:colOff>
      <xdr:row>45</xdr:row>
      <xdr:rowOff>78751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AE6CC2A-5D13-D2E8-D318-D5B08AB52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7749540"/>
          <a:ext cx="1501140" cy="6045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152400</xdr:colOff>
      <xdr:row>42</xdr:row>
      <xdr:rowOff>76200</xdr:rowOff>
    </xdr:from>
    <xdr:to>
      <xdr:col>11</xdr:col>
      <xdr:colOff>579120</xdr:colOff>
      <xdr:row>44</xdr:row>
      <xdr:rowOff>53340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6CD39BB-5821-67A3-EA54-61E574886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0" y="7802880"/>
          <a:ext cx="164592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7620</xdr:colOff>
      <xdr:row>55</xdr:row>
      <xdr:rowOff>175260</xdr:rowOff>
    </xdr:from>
    <xdr:to>
      <xdr:col>4</xdr:col>
      <xdr:colOff>480060</xdr:colOff>
      <xdr:row>57</xdr:row>
      <xdr:rowOff>129540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2F8D732-FE9D-F3D7-3A25-649376AB5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220" y="10309860"/>
          <a:ext cx="230124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56</xdr:row>
      <xdr:rowOff>0</xdr:rowOff>
    </xdr:from>
    <xdr:to>
      <xdr:col>12</xdr:col>
      <xdr:colOff>7620</xdr:colOff>
      <xdr:row>57</xdr:row>
      <xdr:rowOff>152400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A56ADBB-39AC-7152-D9FF-EE05463C2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0317480"/>
          <a:ext cx="1836420" cy="335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190500</xdr:colOff>
      <xdr:row>67</xdr:row>
      <xdr:rowOff>121920</xdr:rowOff>
    </xdr:from>
    <xdr:to>
      <xdr:col>5</xdr:col>
      <xdr:colOff>251460</xdr:colOff>
      <xdr:row>69</xdr:row>
      <xdr:rowOff>129540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66D3622-9352-D956-F06C-77B7553BB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2466320"/>
          <a:ext cx="1889760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68580</xdr:colOff>
      <xdr:row>67</xdr:row>
      <xdr:rowOff>167640</xdr:rowOff>
    </xdr:from>
    <xdr:to>
      <xdr:col>13</xdr:col>
      <xdr:colOff>129540</xdr:colOff>
      <xdr:row>69</xdr:row>
      <xdr:rowOff>175260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03EFA63-DA50-7244-6163-D785B8550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64580" y="12512040"/>
          <a:ext cx="1889760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175260</xdr:rowOff>
    </xdr:from>
    <xdr:to>
      <xdr:col>6</xdr:col>
      <xdr:colOff>22860</xdr:colOff>
      <xdr:row>3</xdr:row>
      <xdr:rowOff>68580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368583-8EEB-EC15-AD93-5A3881C9906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9048"/>
        <a:stretch/>
      </xdr:blipFill>
      <xdr:spPr bwMode="auto">
        <a:xfrm>
          <a:off x="624840" y="358140"/>
          <a:ext cx="314706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434340</xdr:colOff>
      <xdr:row>1</xdr:row>
      <xdr:rowOff>160020</xdr:rowOff>
    </xdr:from>
    <xdr:to>
      <xdr:col>14</xdr:col>
      <xdr:colOff>213360</xdr:colOff>
      <xdr:row>3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0516CB-A0FA-CAD0-6668-547DB70A7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3060" y="342900"/>
          <a:ext cx="352806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144780</xdr:colOff>
      <xdr:row>5</xdr:row>
      <xdr:rowOff>2618</xdr:rowOff>
    </xdr:from>
    <xdr:to>
      <xdr:col>4</xdr:col>
      <xdr:colOff>281940</xdr:colOff>
      <xdr:row>8</xdr:row>
      <xdr:rowOff>99059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35F3D41-74C7-4882-133E-FF7319582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380" y="917018"/>
          <a:ext cx="1965960" cy="6450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487679</xdr:colOff>
      <xdr:row>4</xdr:row>
      <xdr:rowOff>174306</xdr:rowOff>
    </xdr:from>
    <xdr:to>
      <xdr:col>9</xdr:col>
      <xdr:colOff>241393</xdr:colOff>
      <xdr:row>9</xdr:row>
      <xdr:rowOff>7620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5DF772A-5B2A-B73B-55E1-149DE7F6A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1879" y="905826"/>
          <a:ext cx="2624549" cy="7477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518160</xdr:colOff>
      <xdr:row>6</xdr:row>
      <xdr:rowOff>83820</xdr:rowOff>
    </xdr:from>
    <xdr:to>
      <xdr:col>13</xdr:col>
      <xdr:colOff>453360</xdr:colOff>
      <xdr:row>7</xdr:row>
      <xdr:rowOff>170254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036EBF5-BD04-3F6C-CE6C-C2CBC417F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4160" y="1181100"/>
          <a:ext cx="1764000" cy="26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480059</xdr:colOff>
      <xdr:row>27</xdr:row>
      <xdr:rowOff>144780</xdr:rowOff>
    </xdr:from>
    <xdr:to>
      <xdr:col>5</xdr:col>
      <xdr:colOff>539596</xdr:colOff>
      <xdr:row>29</xdr:row>
      <xdr:rowOff>7620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44775ED-7D4F-F1C0-71C7-6A670FCF7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59" y="5189220"/>
          <a:ext cx="3107537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289560</xdr:colOff>
      <xdr:row>27</xdr:row>
      <xdr:rowOff>137160</xdr:rowOff>
    </xdr:from>
    <xdr:to>
      <xdr:col>13</xdr:col>
      <xdr:colOff>15240</xdr:colOff>
      <xdr:row>29</xdr:row>
      <xdr:rowOff>79594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430E659-8C39-CF43-BBF9-0A8AB79B3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6760" y="5181600"/>
          <a:ext cx="3383280" cy="3081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251460</xdr:colOff>
      <xdr:row>30</xdr:row>
      <xdr:rowOff>68580</xdr:rowOff>
    </xdr:from>
    <xdr:to>
      <xdr:col>9</xdr:col>
      <xdr:colOff>283845</xdr:colOff>
      <xdr:row>34</xdr:row>
      <xdr:rowOff>59771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5261331-6545-443D-140F-2D741043E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9460" y="5661660"/>
          <a:ext cx="2842260" cy="7227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419100</xdr:colOff>
      <xdr:row>32</xdr:row>
      <xdr:rowOff>38100</xdr:rowOff>
    </xdr:from>
    <xdr:to>
      <xdr:col>13</xdr:col>
      <xdr:colOff>365760</xdr:colOff>
      <xdr:row>33</xdr:row>
      <xdr:rowOff>126283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F6F147C-3770-61C7-401C-4F1723A1A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5996940"/>
          <a:ext cx="1775460" cy="2710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434340</xdr:colOff>
      <xdr:row>31</xdr:row>
      <xdr:rowOff>30480</xdr:rowOff>
    </xdr:from>
    <xdr:to>
      <xdr:col>3</xdr:col>
      <xdr:colOff>571500</xdr:colOff>
      <xdr:row>34</xdr:row>
      <xdr:rowOff>126921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CED4D5E-F2E1-4F74-94C8-72427A382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" y="5806440"/>
          <a:ext cx="1965960" cy="6450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434340</xdr:colOff>
      <xdr:row>57</xdr:row>
      <xdr:rowOff>30480</xdr:rowOff>
    </xdr:from>
    <xdr:ext cx="1965960" cy="645081"/>
    <xdr:pic>
      <xdr:nvPicPr>
        <xdr:cNvPr id="16" name="Picture 15">
          <a:extLst>
            <a:ext uri="{FF2B5EF4-FFF2-40B4-BE49-F238E27FC236}">
              <a16:creationId xmlns:a16="http://schemas.microsoft.com/office/drawing/2014/main" id="{9B5ED51D-AB91-4AA4-BC61-F6858F796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" y="5806440"/>
          <a:ext cx="1965960" cy="6450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327660</xdr:colOff>
      <xdr:row>54</xdr:row>
      <xdr:rowOff>7620</xdr:rowOff>
    </xdr:from>
    <xdr:to>
      <xdr:col>5</xdr:col>
      <xdr:colOff>480060</xdr:colOff>
      <xdr:row>55</xdr:row>
      <xdr:rowOff>87273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BA1188E-D5B1-E0F1-DB6E-B1BF0E8CE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660" y="10096500"/>
          <a:ext cx="3200400" cy="2625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190500</xdr:colOff>
      <xdr:row>53</xdr:row>
      <xdr:rowOff>167644</xdr:rowOff>
    </xdr:from>
    <xdr:to>
      <xdr:col>13</xdr:col>
      <xdr:colOff>492900</xdr:colOff>
      <xdr:row>55</xdr:row>
      <xdr:rowOff>53425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45149F38-388E-C420-E2D7-3C31EBE64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7700" y="10073644"/>
          <a:ext cx="3960000" cy="251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533400</xdr:colOff>
      <xdr:row>56</xdr:row>
      <xdr:rowOff>114313</xdr:rowOff>
    </xdr:from>
    <xdr:to>
      <xdr:col>8</xdr:col>
      <xdr:colOff>351525</xdr:colOff>
      <xdr:row>60</xdr:row>
      <xdr:rowOff>59696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FD893F80-64F1-6728-6340-4DA444865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1800" y="10568953"/>
          <a:ext cx="2628000" cy="676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579120</xdr:colOff>
      <xdr:row>58</xdr:row>
      <xdr:rowOff>38100</xdr:rowOff>
    </xdr:from>
    <xdr:to>
      <xdr:col>12</xdr:col>
      <xdr:colOff>478320</xdr:colOff>
      <xdr:row>59</xdr:row>
      <xdr:rowOff>119038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BA615E9E-9794-5FE2-7D9B-7E402B07C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5520" y="10858500"/>
          <a:ext cx="1728000" cy="2638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434340</xdr:colOff>
      <xdr:row>83</xdr:row>
      <xdr:rowOff>30480</xdr:rowOff>
    </xdr:from>
    <xdr:ext cx="1965960" cy="645081"/>
    <xdr:pic>
      <xdr:nvPicPr>
        <xdr:cNvPr id="12" name="Picture 15">
          <a:extLst>
            <a:ext uri="{FF2B5EF4-FFF2-40B4-BE49-F238E27FC236}">
              <a16:creationId xmlns:a16="http://schemas.microsoft.com/office/drawing/2014/main" id="{EF843523-8902-41FB-A348-F13F94DA3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" y="11422380"/>
          <a:ext cx="1965960" cy="6450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512445</xdr:colOff>
      <xdr:row>84</xdr:row>
      <xdr:rowOff>114300</xdr:rowOff>
    </xdr:from>
    <xdr:ext cx="1728000" cy="271438"/>
    <xdr:pic>
      <xdr:nvPicPr>
        <xdr:cNvPr id="21" name="Picture 19">
          <a:extLst>
            <a:ext uri="{FF2B5EF4-FFF2-40B4-BE49-F238E27FC236}">
              <a16:creationId xmlns:a16="http://schemas.microsoft.com/office/drawing/2014/main" id="{B052616E-EB1E-45EC-BABA-D0F0772FE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8445" y="16916400"/>
          <a:ext cx="1728000" cy="2714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438150</xdr:colOff>
      <xdr:row>80</xdr:row>
      <xdr:rowOff>0</xdr:rowOff>
    </xdr:from>
    <xdr:to>
      <xdr:col>6</xdr:col>
      <xdr:colOff>762000</xdr:colOff>
      <xdr:row>81</xdr:row>
      <xdr:rowOff>142875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59220B79-28CF-E0E8-C151-B67D80AAF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6040100"/>
          <a:ext cx="398145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314325</xdr:colOff>
      <xdr:row>79</xdr:row>
      <xdr:rowOff>104775</xdr:rowOff>
    </xdr:from>
    <xdr:to>
      <xdr:col>16</xdr:col>
      <xdr:colOff>419100</xdr:colOff>
      <xdr:row>81</xdr:row>
      <xdr:rowOff>76200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841C1596-DD64-891A-D16C-76F9277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0725" y="15954375"/>
          <a:ext cx="4371975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466725</xdr:colOff>
      <xdr:row>82</xdr:row>
      <xdr:rowOff>152400</xdr:rowOff>
    </xdr:from>
    <xdr:to>
      <xdr:col>9</xdr:col>
      <xdr:colOff>265691</xdr:colOff>
      <xdr:row>86</xdr:row>
      <xdr:rowOff>123825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E982FFB0-B250-B77C-4B9B-CD5D2138E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5125" y="16573500"/>
          <a:ext cx="3218441" cy="733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2</xdr:row>
      <xdr:rowOff>28575</xdr:rowOff>
    </xdr:from>
    <xdr:to>
      <xdr:col>7</xdr:col>
      <xdr:colOff>581025</xdr:colOff>
      <xdr:row>24</xdr:row>
      <xdr:rowOff>33618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6943"/>
        <a:stretch/>
      </xdr:blipFill>
      <xdr:spPr bwMode="auto">
        <a:xfrm>
          <a:off x="614643" y="219075"/>
          <a:ext cx="4202206" cy="41960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456638</xdr:colOff>
      <xdr:row>2</xdr:row>
      <xdr:rowOff>73398</xdr:rowOff>
    </xdr:from>
    <xdr:to>
      <xdr:col>27</xdr:col>
      <xdr:colOff>418539</xdr:colOff>
      <xdr:row>32</xdr:row>
      <xdr:rowOff>140073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58991" y="263898"/>
          <a:ext cx="4197724" cy="5781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33618</xdr:colOff>
      <xdr:row>2</xdr:row>
      <xdr:rowOff>78442</xdr:rowOff>
    </xdr:from>
    <xdr:to>
      <xdr:col>20</xdr:col>
      <xdr:colOff>332206</xdr:colOff>
      <xdr:row>19</xdr:row>
      <xdr:rowOff>87902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4559" y="268942"/>
          <a:ext cx="7560000" cy="3247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</xdr:row>
      <xdr:rowOff>76201</xdr:rowOff>
    </xdr:from>
    <xdr:to>
      <xdr:col>12</xdr:col>
      <xdr:colOff>115266</xdr:colOff>
      <xdr:row>56</xdr:row>
      <xdr:rowOff>54429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B1C1442-A2E9-A707-988E-D3FFD27C5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6" y="6553201"/>
          <a:ext cx="6940609" cy="38644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566057</xdr:colOff>
      <xdr:row>56</xdr:row>
      <xdr:rowOff>87086</xdr:rowOff>
    </xdr:from>
    <xdr:to>
      <xdr:col>19</xdr:col>
      <xdr:colOff>509451</xdr:colOff>
      <xdr:row>82</xdr:row>
      <xdr:rowOff>87086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09743A-434D-BC77-CE2C-07821BFCD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057" y="10450286"/>
          <a:ext cx="11732623" cy="48114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26"/>
  <sheetViews>
    <sheetView showGridLines="0" topLeftCell="A12" zoomScale="110" zoomScaleNormal="110" workbookViewId="0">
      <selection activeCell="B23" sqref="B23"/>
    </sheetView>
  </sheetViews>
  <sheetFormatPr defaultColWidth="11.42578125" defaultRowHeight="15"/>
  <cols>
    <col min="1" max="1" width="5.7109375" customWidth="1"/>
    <col min="2" max="2" width="73.7109375" bestFit="1" customWidth="1"/>
  </cols>
  <sheetData>
    <row r="1" spans="2:2">
      <c r="B1" s="27" t="s">
        <v>0</v>
      </c>
    </row>
    <row r="2" spans="2:2">
      <c r="B2" s="68" t="s">
        <v>1</v>
      </c>
    </row>
    <row r="3" spans="2:2">
      <c r="B3" s="89" t="s">
        <v>2</v>
      </c>
    </row>
    <row r="4" spans="2:2">
      <c r="B4" s="26" t="s">
        <v>3</v>
      </c>
    </row>
    <row r="5" spans="2:2">
      <c r="B5" s="26" t="s">
        <v>4</v>
      </c>
    </row>
    <row r="6" spans="2:2">
      <c r="B6" s="26" t="s">
        <v>5</v>
      </c>
    </row>
    <row r="7" spans="2:2">
      <c r="B7" s="26" t="s">
        <v>6</v>
      </c>
    </row>
    <row r="8" spans="2:2">
      <c r="B8" s="26" t="s">
        <v>7</v>
      </c>
    </row>
    <row r="9" spans="2:2">
      <c r="B9" s="26" t="s">
        <v>8</v>
      </c>
    </row>
    <row r="10" spans="2:2">
      <c r="B10" s="26" t="s">
        <v>9</v>
      </c>
    </row>
    <row r="11" spans="2:2">
      <c r="B11" s="26" t="s">
        <v>10</v>
      </c>
    </row>
    <row r="12" spans="2:2">
      <c r="B12" s="26" t="s">
        <v>11</v>
      </c>
    </row>
    <row r="13" spans="2:2">
      <c r="B13" s="26" t="s">
        <v>12</v>
      </c>
    </row>
    <row r="14" spans="2:2">
      <c r="B14" s="26" t="s">
        <v>13</v>
      </c>
    </row>
    <row r="15" spans="2:2">
      <c r="B15" s="26" t="s">
        <v>14</v>
      </c>
    </row>
    <row r="16" spans="2:2">
      <c r="B16" s="26" t="s">
        <v>15</v>
      </c>
    </row>
    <row r="17" spans="2:3">
      <c r="B17" s="26" t="s">
        <v>16</v>
      </c>
    </row>
    <row r="18" spans="2:3">
      <c r="B18" s="26" t="s">
        <v>17</v>
      </c>
    </row>
    <row r="19" spans="2:3">
      <c r="B19" s="26"/>
    </row>
    <row r="20" spans="2:3">
      <c r="B20" s="89" t="s">
        <v>18</v>
      </c>
    </row>
    <row r="21" spans="2:3">
      <c r="B21" s="26" t="s">
        <v>19</v>
      </c>
    </row>
    <row r="22" spans="2:3">
      <c r="B22" s="26" t="s">
        <v>20</v>
      </c>
    </row>
    <row r="23" spans="2:3">
      <c r="B23" s="26" t="s">
        <v>21</v>
      </c>
    </row>
    <row r="25" spans="2:3">
      <c r="B25" s="26" t="s">
        <v>22</v>
      </c>
    </row>
    <row r="26" spans="2:3">
      <c r="C26" s="52" t="s">
        <v>23</v>
      </c>
    </row>
  </sheetData>
  <hyperlinks>
    <hyperlink ref="B4" location="'Conversión de tasas'!A1" display="Conversión de tasas" xr:uid="{00000000-0004-0000-0100-000000000000}"/>
    <hyperlink ref="B5" location="'Valor Futuro'!A1" display="Valor Futuro" xr:uid="{00000000-0004-0000-0100-000001000000}"/>
    <hyperlink ref="B6" location="'Valor Presente'!A1" display="Valor Presente" xr:uid="{00000000-0004-0000-0100-000002000000}"/>
    <hyperlink ref="B7" location="'Tasa de rendimiento anual'!A1" display="Determinación de la tasa de rendimiento" xr:uid="{00000000-0004-0000-0100-000003000000}"/>
    <hyperlink ref="B8" location="'Número de periodos'!A1" display="Número de periodos" xr:uid="{00000000-0004-0000-0100-000004000000}"/>
    <hyperlink ref="B9" location="'VF Rentas Periódicas'!A1" display="Valor futuro de rentas constantes periódicas" xr:uid="{00000000-0004-0000-0100-000005000000}"/>
    <hyperlink ref="B10" location="'VP Rentas Periódicas'!A1" display="Valor presente de rentas constantes periódicas" xr:uid="{00000000-0004-0000-0100-000006000000}"/>
    <hyperlink ref="B11" location="'Tablas de Amortización'!A1" display="Tablas de amortización" xr:uid="{00000000-0004-0000-0100-000007000000}"/>
    <hyperlink ref="B12" location="'VF Renta creciente geométri'!A1" display="Valor futuro de rentas crecientes geométricas" xr:uid="{00000000-0004-0000-0100-000008000000}"/>
    <hyperlink ref="B13" location="'VP Renta creciente geométrica'!A1" display="Valor presente de rentas crecientes geométricas " xr:uid="{00000000-0004-0000-0100-000009000000}"/>
    <hyperlink ref="B14" location="'Valuación de Bonos'!A1" display="Valuación de bonos" xr:uid="{00000000-0004-0000-0100-00000A000000}"/>
    <hyperlink ref="B15" location="'Determinación Yield'!A1" display="Determinación del Yield to maturity" xr:uid="{00000000-0004-0000-0100-00000B000000}"/>
    <hyperlink ref="B16" location="'Valuación de Acciones Dado R, g'!A1" display="Valuación de acciones dado R y g" xr:uid="{00000000-0004-0000-0100-00000C000000}"/>
    <hyperlink ref="B18" location="'Acciones Rendimiento Requerido'!A1" display="Acciones: rendimiento requerido" xr:uid="{00000000-0004-0000-0100-00000D000000}"/>
    <hyperlink ref="B17" location="'Valuación de Acciones Múltiplos'!A1" display="Valuación de acciones por Múltiplos" xr:uid="{00000000-0004-0000-0100-00000E000000}"/>
    <hyperlink ref="B25" location="Anexo!A1" display="Anexo. Formulario" xr:uid="{00000000-0004-0000-0100-00000F000000}"/>
    <hyperlink ref="B21" location="Forward!A1" display="Precios Forward" xr:uid="{BAEA3872-DFE8-4C23-A63E-ACCE875000EA}"/>
    <hyperlink ref="B23" location="Opciones!A1" display="Precios de opciones (B-S-M)" xr:uid="{FF44968C-57FC-40B6-A7FA-975D26773AC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7"/>
  <sheetViews>
    <sheetView showGridLines="0" topLeftCell="A29" workbookViewId="0">
      <selection activeCell="K1" sqref="K1"/>
    </sheetView>
  </sheetViews>
  <sheetFormatPr defaultColWidth="11.42578125" defaultRowHeight="15"/>
  <cols>
    <col min="2" max="2" width="22.140625" bestFit="1" customWidth="1"/>
    <col min="3" max="5" width="18.42578125" customWidth="1"/>
  </cols>
  <sheetData>
    <row r="1" spans="1:11" s="6" customFormat="1">
      <c r="A1" s="7" t="s">
        <v>24</v>
      </c>
      <c r="K1" s="28" t="s">
        <v>25</v>
      </c>
    </row>
    <row r="7" spans="1:11" s="6" customFormat="1" ht="17.100000000000001">
      <c r="A7" s="7" t="s">
        <v>26</v>
      </c>
    </row>
    <row r="8" spans="1:11" ht="15.95" thickBot="1"/>
    <row r="9" spans="1:11" ht="17.100000000000001">
      <c r="B9" s="1" t="s">
        <v>27</v>
      </c>
      <c r="C9" s="4">
        <v>0.2</v>
      </c>
      <c r="D9" s="4"/>
      <c r="E9" s="4"/>
      <c r="G9" s="30" t="s">
        <v>28</v>
      </c>
      <c r="H9" s="31">
        <f>((1+C9/C10)^C10)-1</f>
        <v>0.18321595661992318</v>
      </c>
      <c r="I9" t="str">
        <f ca="1">_xlfn.FORMULATEXT(H9)</f>
        <v>=((1+C9/C10)^C10)-1</v>
      </c>
    </row>
    <row r="10" spans="1:11" ht="15.95" thickBot="1">
      <c r="B10" s="1" t="s">
        <v>29</v>
      </c>
      <c r="C10">
        <f>1/2</f>
        <v>0.5</v>
      </c>
      <c r="G10" s="32" t="s">
        <v>30</v>
      </c>
      <c r="H10" s="33">
        <f>C10*LN(1+C9/C10)</f>
        <v>0.16823611831060645</v>
      </c>
      <c r="I10" t="str">
        <f ca="1">_xlfn.FORMULATEXT(H10)</f>
        <v>=C10*LN(1+C9/C10)</v>
      </c>
    </row>
    <row r="12" spans="1:11" s="6" customFormat="1">
      <c r="A12" s="7" t="s">
        <v>31</v>
      </c>
    </row>
    <row r="13" spans="1:11" ht="15.95" thickBot="1"/>
    <row r="14" spans="1:11" ht="15.95" thickBot="1">
      <c r="B14" s="8" t="s">
        <v>30</v>
      </c>
      <c r="C14" s="9">
        <v>9.7580328338864097E-2</v>
      </c>
      <c r="D14" s="9"/>
      <c r="E14" s="9"/>
      <c r="G14" s="34" t="s">
        <v>28</v>
      </c>
      <c r="H14" s="35">
        <f>EXP(C14)-1</f>
        <v>0.10250000000000004</v>
      </c>
      <c r="I14" t="str">
        <f ca="1">_xlfn.FORMULATEXT(H14)</f>
        <v>=EXP(C14)-1</v>
      </c>
    </row>
    <row r="16" spans="1:11" s="6" customFormat="1" ht="17.100000000000001">
      <c r="A16" s="7" t="s">
        <v>32</v>
      </c>
    </row>
    <row r="17" spans="1:9" ht="15.95" thickBot="1"/>
    <row r="18" spans="1:9" ht="18" thickBot="1">
      <c r="B18" s="8" t="s">
        <v>30</v>
      </c>
      <c r="C18" s="9">
        <v>2.5000000000000001E-2</v>
      </c>
      <c r="D18" s="9"/>
      <c r="E18" s="9"/>
      <c r="G18" s="34" t="s">
        <v>27</v>
      </c>
      <c r="H18" s="81">
        <f>(EXP(C18/C19)-1)*C19</f>
        <v>2.5156903081268833E-2</v>
      </c>
      <c r="I18" t="str">
        <f ca="1">_xlfn.FORMULATEXT(H18)</f>
        <v>=(EXP(C18/C19)-1)*C19</v>
      </c>
    </row>
    <row r="19" spans="1:9">
      <c r="B19" s="75" t="s">
        <v>29</v>
      </c>
      <c r="C19" s="18">
        <v>2</v>
      </c>
      <c r="D19" s="18"/>
      <c r="E19" s="18"/>
    </row>
    <row r="21" spans="1:9" s="6" customFormat="1" ht="17.100000000000001">
      <c r="A21" s="7" t="s">
        <v>33</v>
      </c>
    </row>
    <row r="22" spans="1:9" ht="15.95" thickBot="1"/>
    <row r="23" spans="1:9" ht="18" thickBot="1">
      <c r="B23" s="1" t="s">
        <v>29</v>
      </c>
      <c r="C23">
        <v>2</v>
      </c>
      <c r="D23" s="9"/>
      <c r="E23" s="9"/>
      <c r="G23" s="34" t="s">
        <v>34</v>
      </c>
      <c r="H23" s="81">
        <f>((1+C24/C23)^(C23/C25))-1</f>
        <v>3.3061554146506911E-2</v>
      </c>
      <c r="I23" t="str">
        <f ca="1">_xlfn.FORMULATEXT(H23)</f>
        <v>=((1+C24/C23)^(C23/C25))-1</v>
      </c>
    </row>
    <row r="24" spans="1:9" ht="17.100000000000001">
      <c r="B24" s="1" t="s">
        <v>27</v>
      </c>
      <c r="C24" s="2">
        <v>0.1</v>
      </c>
      <c r="D24" s="18"/>
      <c r="E24" s="18"/>
    </row>
    <row r="25" spans="1:9">
      <c r="B25" s="1" t="s">
        <v>35</v>
      </c>
      <c r="C25">
        <v>3</v>
      </c>
    </row>
    <row r="26" spans="1:9" ht="17.100000000000001">
      <c r="B26" s="1" t="s">
        <v>34</v>
      </c>
      <c r="C26" s="1" t="s">
        <v>36</v>
      </c>
    </row>
    <row r="29" spans="1:9" s="6" customFormat="1">
      <c r="A29" s="7" t="s">
        <v>37</v>
      </c>
    </row>
    <row r="31" spans="1:9">
      <c r="B31" s="1" t="s">
        <v>38</v>
      </c>
      <c r="C31" s="2">
        <v>0.1</v>
      </c>
    </row>
    <row r="32" spans="1:9" ht="17.100000000000001">
      <c r="B32" s="1" t="s">
        <v>39</v>
      </c>
      <c r="C32" s="3">
        <v>100000</v>
      </c>
    </row>
    <row r="33" spans="2:4">
      <c r="B33" s="1" t="s">
        <v>40</v>
      </c>
      <c r="C33">
        <v>10</v>
      </c>
    </row>
    <row r="34" spans="2:4" ht="15.95" thickBot="1"/>
    <row r="35" spans="2:4">
      <c r="B35" s="69" t="s">
        <v>41</v>
      </c>
      <c r="C35" s="70" t="s">
        <v>42</v>
      </c>
      <c r="D35" s="71" t="s">
        <v>43</v>
      </c>
    </row>
    <row r="36" spans="2:4">
      <c r="B36" s="11" t="s">
        <v>44</v>
      </c>
      <c r="C36" s="12">
        <f>1/4</f>
        <v>0.25</v>
      </c>
      <c r="D36" s="61">
        <f>$C$32*((1+$C$31/C36)^(C36))</f>
        <v>108775.73059372771</v>
      </c>
    </row>
    <row r="37" spans="2:4">
      <c r="B37" s="13" t="s">
        <v>45</v>
      </c>
      <c r="C37" s="14">
        <f>1/2</f>
        <v>0.5</v>
      </c>
      <c r="D37" s="62">
        <f t="shared" ref="D37:D46" si="0">$C$32*((1+$C$31/C37)^(C37))</f>
        <v>109544.51150103321</v>
      </c>
    </row>
    <row r="38" spans="2:4">
      <c r="B38" s="11" t="s">
        <v>46</v>
      </c>
      <c r="C38" s="20">
        <v>1</v>
      </c>
      <c r="D38" s="61">
        <f t="shared" si="0"/>
        <v>110000.00000000001</v>
      </c>
    </row>
    <row r="39" spans="2:4">
      <c r="B39" s="13" t="s">
        <v>47</v>
      </c>
      <c r="C39" s="64">
        <v>2</v>
      </c>
      <c r="D39" s="62">
        <f t="shared" si="0"/>
        <v>110250</v>
      </c>
    </row>
    <row r="40" spans="2:4">
      <c r="B40" s="11" t="s">
        <v>48</v>
      </c>
      <c r="C40" s="20">
        <v>4</v>
      </c>
      <c r="D40" s="61">
        <f t="shared" si="0"/>
        <v>110381.28906249997</v>
      </c>
    </row>
    <row r="41" spans="2:4">
      <c r="B41" s="13" t="s">
        <v>49</v>
      </c>
      <c r="C41" s="64">
        <v>12</v>
      </c>
      <c r="D41" s="62">
        <f t="shared" si="0"/>
        <v>110471.30674412969</v>
      </c>
    </row>
    <row r="42" spans="2:4">
      <c r="B42" s="11" t="s">
        <v>50</v>
      </c>
      <c r="C42" s="20">
        <v>52</v>
      </c>
      <c r="D42" s="61">
        <f t="shared" si="0"/>
        <v>110506.47927797658</v>
      </c>
    </row>
    <row r="43" spans="2:4">
      <c r="B43" s="13" t="s">
        <v>51</v>
      </c>
      <c r="C43" s="64">
        <v>365</v>
      </c>
      <c r="D43" s="62">
        <f t="shared" si="0"/>
        <v>110515.57816162272</v>
      </c>
    </row>
    <row r="44" spans="2:4">
      <c r="B44" s="11" t="s">
        <v>52</v>
      </c>
      <c r="C44" s="20">
        <f>24*C43</f>
        <v>8760</v>
      </c>
      <c r="D44" s="61">
        <f t="shared" si="0"/>
        <v>110517.02872744152</v>
      </c>
    </row>
    <row r="45" spans="2:4">
      <c r="B45" s="13" t="s">
        <v>53</v>
      </c>
      <c r="C45" s="64">
        <f>C44*60</f>
        <v>525600</v>
      </c>
      <c r="D45" s="62">
        <f t="shared" si="0"/>
        <v>110517.09075254663</v>
      </c>
    </row>
    <row r="46" spans="2:4">
      <c r="B46" s="11" t="s">
        <v>54</v>
      </c>
      <c r="C46" s="12">
        <f>C45*60</f>
        <v>31536000</v>
      </c>
      <c r="D46" s="61">
        <f t="shared" si="0"/>
        <v>110517.09197614715</v>
      </c>
    </row>
    <row r="47" spans="2:4" ht="20.100000000000001" thickBot="1">
      <c r="B47" s="15" t="s">
        <v>55</v>
      </c>
      <c r="C47" s="29" t="s">
        <v>56</v>
      </c>
      <c r="D47" s="63">
        <f>C32*EXP(C31)</f>
        <v>110517.09180756476</v>
      </c>
    </row>
  </sheetData>
  <hyperlinks>
    <hyperlink ref="K1" location="Índice!A1" display="Regreso al Índice" xr:uid="{00000000-0004-0000-0200-000000000000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5"/>
  <sheetViews>
    <sheetView showGridLines="0" workbookViewId="0">
      <selection activeCell="K1" sqref="K1"/>
    </sheetView>
  </sheetViews>
  <sheetFormatPr defaultColWidth="11.42578125" defaultRowHeight="15"/>
  <cols>
    <col min="3" max="3" width="13.140625" bestFit="1" customWidth="1"/>
    <col min="8" max="8" width="17.140625" bestFit="1" customWidth="1"/>
    <col min="9" max="9" width="24.42578125" bestFit="1" customWidth="1"/>
    <col min="12" max="12" width="15.140625" bestFit="1" customWidth="1"/>
  </cols>
  <sheetData>
    <row r="1" spans="1:11" s="6" customFormat="1" ht="17.100000000000001">
      <c r="A1" s="7" t="s">
        <v>57</v>
      </c>
      <c r="K1" s="28" t="s">
        <v>25</v>
      </c>
    </row>
    <row r="5" spans="1:11">
      <c r="A5" s="68" t="s">
        <v>58</v>
      </c>
      <c r="J5" s="76"/>
    </row>
    <row r="6" spans="1:11" ht="15.95" thickBot="1"/>
    <row r="7" spans="1:11" ht="17.100000000000001">
      <c r="B7" s="1" t="s">
        <v>39</v>
      </c>
      <c r="C7" s="3">
        <v>20000</v>
      </c>
      <c r="G7" s="30" t="s">
        <v>59</v>
      </c>
      <c r="H7" s="36">
        <f>C7*((1+C8)^C9)</f>
        <v>29679.563662177825</v>
      </c>
      <c r="I7" t="str">
        <f t="shared" ref="I7:I8" ca="1" si="0">_xlfn.FORMULATEXT(H7)</f>
        <v>=C7*((1+C8)^C9)</v>
      </c>
    </row>
    <row r="8" spans="1:11" ht="18" thickBot="1">
      <c r="B8" s="1" t="s">
        <v>28</v>
      </c>
      <c r="C8" s="5">
        <v>6.8000000000000005E-2</v>
      </c>
      <c r="G8" s="37" t="s">
        <v>59</v>
      </c>
      <c r="H8" s="38">
        <f>FV(C8,C9,,-C7,0)</f>
        <v>29679.563662177825</v>
      </c>
      <c r="I8" t="str">
        <f t="shared" ca="1" si="0"/>
        <v>=VF(C8,C9,,-C7,0)</v>
      </c>
    </row>
    <row r="9" spans="1:11">
      <c r="B9" s="1" t="s">
        <v>40</v>
      </c>
      <c r="C9">
        <v>6</v>
      </c>
    </row>
    <row r="11" spans="1:11" s="6" customFormat="1" ht="17.100000000000001">
      <c r="A11" s="7" t="s">
        <v>60</v>
      </c>
    </row>
    <row r="15" spans="1:11">
      <c r="A15" s="68" t="s">
        <v>58</v>
      </c>
    </row>
    <row r="16" spans="1:11" ht="15.95" thickBot="1"/>
    <row r="17" spans="1:12" ht="17.100000000000001">
      <c r="B17" s="1" t="s">
        <v>39</v>
      </c>
      <c r="C17" s="3">
        <v>54000</v>
      </c>
      <c r="G17" s="30" t="s">
        <v>61</v>
      </c>
      <c r="H17" s="66">
        <f>C17*((1+C21)^(C19*C20))</f>
        <v>132305.30091403471</v>
      </c>
      <c r="I17" t="str">
        <f t="shared" ref="I17:I18" ca="1" si="1">_xlfn.FORMULATEXT(H17)</f>
        <v>=C17*((1+C21)^(C19*C20))</v>
      </c>
      <c r="L17" s="18">
        <v>388627267.52409804</v>
      </c>
    </row>
    <row r="18" spans="1:12" ht="18.95" thickBot="1">
      <c r="B18" s="1" t="s">
        <v>27</v>
      </c>
      <c r="C18" s="5">
        <v>0.1125</v>
      </c>
      <c r="G18" s="37" t="s">
        <v>61</v>
      </c>
      <c r="H18" s="67">
        <f>FV(C21,C19*C20,,-C17,0)</f>
        <v>132305.30091403471</v>
      </c>
      <c r="I18" t="str">
        <f t="shared" ca="1" si="1"/>
        <v>=VF(C21,C19*C20,,-C17,0)</v>
      </c>
      <c r="L18" s="18">
        <v>697044690.16207647</v>
      </c>
    </row>
    <row r="19" spans="1:12">
      <c r="B19" s="1" t="s">
        <v>40</v>
      </c>
      <c r="C19">
        <f>1997-1989</f>
        <v>8</v>
      </c>
      <c r="L19" s="82">
        <f>L17+L18</f>
        <v>1085671957.6861744</v>
      </c>
    </row>
    <row r="20" spans="1:12">
      <c r="B20" s="1" t="s">
        <v>29</v>
      </c>
      <c r="C20">
        <v>13</v>
      </c>
      <c r="H20">
        <v>697044690.16207647</v>
      </c>
    </row>
    <row r="21" spans="1:12" ht="17.100000000000001">
      <c r="B21" s="1" t="s">
        <v>62</v>
      </c>
      <c r="C21" s="9">
        <f>C18/C20</f>
        <v>8.6538461538461543E-3</v>
      </c>
      <c r="H21" s="82">
        <f>H20+H18</f>
        <v>697176995.46299052</v>
      </c>
    </row>
    <row r="23" spans="1:12" s="6" customFormat="1" ht="17.100000000000001">
      <c r="A23" s="7" t="s">
        <v>63</v>
      </c>
    </row>
    <row r="27" spans="1:12">
      <c r="A27" s="68" t="s">
        <v>58</v>
      </c>
    </row>
    <row r="28" spans="1:12" ht="15.95" thickBot="1"/>
    <row r="29" spans="1:12" ht="18" thickBot="1">
      <c r="B29" s="1" t="s">
        <v>39</v>
      </c>
      <c r="C29" s="3">
        <v>5000</v>
      </c>
      <c r="G29" s="34" t="s">
        <v>59</v>
      </c>
      <c r="H29" s="72">
        <f>C29*EXP(C30*C31)</f>
        <v>12298.015555784748</v>
      </c>
      <c r="I29" t="str">
        <f ca="1">_xlfn.FORMULATEXT(H29)</f>
        <v>=C29*EXP(C30*C31)</v>
      </c>
    </row>
    <row r="30" spans="1:12">
      <c r="B30" s="8" t="s">
        <v>30</v>
      </c>
      <c r="C30" s="5">
        <v>0.1</v>
      </c>
    </row>
    <row r="31" spans="1:12">
      <c r="B31" s="1" t="s">
        <v>40</v>
      </c>
      <c r="C31">
        <v>9</v>
      </c>
    </row>
    <row r="35" spans="2:3">
      <c r="B35" s="1"/>
      <c r="C35" s="3"/>
    </row>
  </sheetData>
  <hyperlinks>
    <hyperlink ref="K1" location="Índice!A1" display="Regreso al Índice" xr:uid="{00000000-0004-0000-0300-000000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3"/>
  <sheetViews>
    <sheetView showGridLines="0" zoomScaleNormal="100" workbookViewId="0">
      <selection activeCell="K1" sqref="K1"/>
    </sheetView>
  </sheetViews>
  <sheetFormatPr defaultColWidth="11.42578125" defaultRowHeight="15"/>
  <sheetData>
    <row r="1" spans="1:11" s="6" customFormat="1" ht="17.100000000000001">
      <c r="A1" s="7" t="s">
        <v>64</v>
      </c>
      <c r="K1" s="28" t="s">
        <v>25</v>
      </c>
    </row>
    <row r="5" spans="1:11">
      <c r="A5" s="68" t="s">
        <v>58</v>
      </c>
    </row>
    <row r="6" spans="1:11" ht="15.95" thickBot="1"/>
    <row r="7" spans="1:11" ht="17.100000000000001">
      <c r="B7" s="1" t="s">
        <v>59</v>
      </c>
      <c r="C7" s="18">
        <v>245000</v>
      </c>
      <c r="G7" s="30" t="s">
        <v>39</v>
      </c>
      <c r="H7" s="36">
        <f>C7*((1+C8)^(-C9))</f>
        <v>94237.335701904813</v>
      </c>
      <c r="I7" t="str">
        <f ca="1">_xlfn.FORMULATEXT(H7)</f>
        <v>=C7*((1+C8)^(-C9))</v>
      </c>
    </row>
    <row r="8" spans="1:11" ht="18" thickBot="1">
      <c r="B8" s="1" t="s">
        <v>28</v>
      </c>
      <c r="C8" s="5">
        <v>0.112</v>
      </c>
      <c r="G8" s="37" t="s">
        <v>39</v>
      </c>
      <c r="H8" s="38">
        <f>PV(C8,C9,,-C7,0)</f>
        <v>94237.335701904813</v>
      </c>
      <c r="I8" t="str">
        <f ca="1">_xlfn.FORMULATEXT(H8)</f>
        <v>=VA(C8,C9,,-C7,0)</v>
      </c>
    </row>
    <row r="9" spans="1:11">
      <c r="B9" s="1" t="s">
        <v>40</v>
      </c>
      <c r="C9">
        <v>9</v>
      </c>
    </row>
    <row r="11" spans="1:11" s="6" customFormat="1" ht="17.100000000000001">
      <c r="A11" s="7" t="s">
        <v>65</v>
      </c>
    </row>
    <row r="16" spans="1:11">
      <c r="A16" s="68" t="s">
        <v>58</v>
      </c>
    </row>
    <row r="17" spans="1:9" ht="15.95" thickBot="1">
      <c r="A17" s="68"/>
    </row>
    <row r="18" spans="1:9" ht="17.100000000000001">
      <c r="B18" s="1" t="s">
        <v>59</v>
      </c>
      <c r="C18" s="3">
        <v>1000</v>
      </c>
      <c r="G18" s="30" t="s">
        <v>39</v>
      </c>
      <c r="H18" s="36">
        <f>C18*((1+C22)^(-C20*C21))</f>
        <v>376.88948287300059</v>
      </c>
      <c r="I18" t="str">
        <f t="shared" ref="I18:I19" ca="1" si="0">_xlfn.FORMULATEXT(H18)</f>
        <v>=C18*((1+C22)^(-C20*C21))</v>
      </c>
    </row>
    <row r="19" spans="1:9" ht="18.95" thickBot="1">
      <c r="B19" s="1" t="s">
        <v>27</v>
      </c>
      <c r="C19" s="2">
        <v>0.1</v>
      </c>
      <c r="G19" s="37" t="s">
        <v>39</v>
      </c>
      <c r="H19" s="40">
        <f>PV(C22,C20*C21,,-C18,0)</f>
        <v>376.88948287300059</v>
      </c>
      <c r="I19" t="str">
        <f t="shared" ca="1" si="0"/>
        <v>=VA(C22,C20*C21,,-C18,0)</v>
      </c>
    </row>
    <row r="20" spans="1:9">
      <c r="B20" s="1" t="s">
        <v>40</v>
      </c>
      <c r="C20">
        <v>10</v>
      </c>
    </row>
    <row r="21" spans="1:9">
      <c r="B21" s="1" t="s">
        <v>29</v>
      </c>
      <c r="C21">
        <v>2</v>
      </c>
    </row>
    <row r="22" spans="1:9" ht="17.100000000000001">
      <c r="B22" s="1" t="s">
        <v>62</v>
      </c>
      <c r="C22">
        <f>C19/C21</f>
        <v>0.05</v>
      </c>
    </row>
    <row r="24" spans="1:9" s="6" customFormat="1" ht="17.100000000000001">
      <c r="A24" s="7" t="s">
        <v>66</v>
      </c>
    </row>
    <row r="29" spans="1:9">
      <c r="A29" s="68" t="s">
        <v>58</v>
      </c>
    </row>
    <row r="30" spans="1:9" ht="15.95" thickBot="1">
      <c r="A30" s="68"/>
    </row>
    <row r="31" spans="1:9" ht="18" thickBot="1">
      <c r="B31" s="1" t="s">
        <v>59</v>
      </c>
      <c r="C31" s="3">
        <v>1000</v>
      </c>
      <c r="G31" s="34" t="s">
        <v>39</v>
      </c>
      <c r="H31" s="49">
        <f>C31*EXP(-C32*C33)</f>
        <v>367.87944117144235</v>
      </c>
      <c r="I31" t="str">
        <f t="shared" ref="I31" ca="1" si="1">_xlfn.FORMULATEXT(H31)</f>
        <v>=C31*EXP(-C32*C33)</v>
      </c>
    </row>
    <row r="32" spans="1:9">
      <c r="B32" s="8" t="s">
        <v>30</v>
      </c>
      <c r="C32" s="2">
        <v>0.1</v>
      </c>
    </row>
    <row r="33" spans="2:3">
      <c r="B33" s="1" t="s">
        <v>40</v>
      </c>
      <c r="C33">
        <v>10</v>
      </c>
    </row>
  </sheetData>
  <hyperlinks>
    <hyperlink ref="K1" location="Índice!A1" display="Regreso al Índice" xr:uid="{00000000-0004-0000-04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1"/>
  <sheetViews>
    <sheetView showGridLines="0" workbookViewId="0">
      <selection activeCell="K1" sqref="K1"/>
    </sheetView>
  </sheetViews>
  <sheetFormatPr defaultColWidth="11.42578125" defaultRowHeight="15"/>
  <cols>
    <col min="3" max="3" width="26.7109375" bestFit="1" customWidth="1"/>
  </cols>
  <sheetData>
    <row r="1" spans="1:11" s="6" customFormat="1">
      <c r="A1" s="6" t="s">
        <v>67</v>
      </c>
      <c r="K1" s="28" t="s">
        <v>25</v>
      </c>
    </row>
    <row r="3" spans="1:11" ht="17.100000000000001">
      <c r="D3" s="1" t="s">
        <v>68</v>
      </c>
      <c r="E3" t="s">
        <v>69</v>
      </c>
    </row>
    <row r="4" spans="1:11" ht="17.100000000000001">
      <c r="D4" s="1" t="s">
        <v>70</v>
      </c>
      <c r="E4" t="s">
        <v>71</v>
      </c>
    </row>
    <row r="5" spans="1:11">
      <c r="D5" s="1" t="s">
        <v>72</v>
      </c>
      <c r="E5" t="s">
        <v>73</v>
      </c>
    </row>
    <row r="7" spans="1:11">
      <c r="A7" s="68" t="s">
        <v>58</v>
      </c>
    </row>
    <row r="8" spans="1:11" ht="15.95" thickBot="1">
      <c r="A8" s="68"/>
    </row>
    <row r="9" spans="1:11" ht="18" thickBot="1">
      <c r="B9" s="1" t="s">
        <v>39</v>
      </c>
      <c r="C9" s="3">
        <v>4582500</v>
      </c>
      <c r="G9" s="34" t="s">
        <v>28</v>
      </c>
      <c r="H9" s="80">
        <f>((C10/C9)^(1/C11))-1</f>
        <v>7.4032288028231807E-2</v>
      </c>
      <c r="I9" t="str">
        <f ca="1">_xlfn.FORMULATEXT(H9)</f>
        <v>=((C10/C9)^(1/C11))-1</v>
      </c>
    </row>
    <row r="10" spans="1:11" ht="17.100000000000001">
      <c r="B10" s="1" t="s">
        <v>59</v>
      </c>
      <c r="C10" s="3">
        <v>9360000</v>
      </c>
    </row>
    <row r="11" spans="1:11">
      <c r="B11" s="1" t="s">
        <v>40</v>
      </c>
      <c r="C11" s="3">
        <f>2024-2014</f>
        <v>10</v>
      </c>
    </row>
  </sheetData>
  <hyperlinks>
    <hyperlink ref="K1" location="Índice!A1" display="Regreso al Índice" xr:uid="{00000000-0004-0000-0500-00000000000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22"/>
  <sheetViews>
    <sheetView showGridLines="0" zoomScale="120" zoomScaleNormal="120" workbookViewId="0">
      <selection activeCell="K1" sqref="K1"/>
    </sheetView>
  </sheetViews>
  <sheetFormatPr defaultColWidth="11.42578125" defaultRowHeight="15"/>
  <cols>
    <col min="3" max="3" width="13.42578125" customWidth="1"/>
  </cols>
  <sheetData>
    <row r="1" spans="1:21" s="6" customFormat="1">
      <c r="A1" s="6" t="s">
        <v>74</v>
      </c>
      <c r="K1" s="28" t="s">
        <v>25</v>
      </c>
    </row>
    <row r="6" spans="1:21">
      <c r="A6" s="68" t="s">
        <v>58</v>
      </c>
    </row>
    <row r="7" spans="1:21" ht="15.95" thickBot="1"/>
    <row r="8" spans="1:21" ht="17.100000000000001">
      <c r="B8" s="1" t="s">
        <v>39</v>
      </c>
      <c r="C8" s="3">
        <v>50000</v>
      </c>
      <c r="G8" s="30" t="s">
        <v>40</v>
      </c>
      <c r="H8" s="41">
        <f>LN(C9/C8)/LN(1+C10)</f>
        <v>37.74800030320138</v>
      </c>
      <c r="I8" t="str">
        <f ca="1">_xlfn.FORMULATEXT(H8)</f>
        <v>=LN(C9/C8)/LN(1+C10)</v>
      </c>
      <c r="K8" s="78">
        <f>INT(H8)</f>
        <v>37</v>
      </c>
      <c r="L8" s="77">
        <f>(H8-K8)*12</f>
        <v>8.9760036384165574</v>
      </c>
      <c r="M8" s="78">
        <f>INT(L8)</f>
        <v>8</v>
      </c>
      <c r="N8" s="77">
        <f>(L8-M8)*365/12</f>
        <v>29.686777335170287</v>
      </c>
      <c r="O8" s="78">
        <f>INT(N8)</f>
        <v>29</v>
      </c>
      <c r="P8" s="77">
        <f>(N8-O8)*24</f>
        <v>16.482656044086895</v>
      </c>
      <c r="Q8" s="78">
        <f>INT(P8)</f>
        <v>16</v>
      </c>
      <c r="R8" s="77">
        <f>(P8-Q8)*60</f>
        <v>28.959362645213673</v>
      </c>
      <c r="S8" s="78">
        <f>INT(R8)</f>
        <v>28</v>
      </c>
      <c r="T8" s="77">
        <f>(R8-S8)*60</f>
        <v>57.561758712820392</v>
      </c>
      <c r="U8" s="78">
        <f>INT(T8)</f>
        <v>57</v>
      </c>
    </row>
    <row r="9" spans="1:21" ht="18" thickBot="1">
      <c r="B9" s="1" t="s">
        <v>59</v>
      </c>
      <c r="C9" s="3">
        <v>245000</v>
      </c>
      <c r="G9" s="37" t="s">
        <v>40</v>
      </c>
      <c r="H9" s="42">
        <f>NPER(C10,,-C8,C9,0)</f>
        <v>37.74800030320138</v>
      </c>
      <c r="I9" t="str">
        <f ca="1">_xlfn.FORMULATEXT(H9)</f>
        <v>=NPER(C10,,-C8,C9,0)</v>
      </c>
      <c r="K9" s="79" t="s">
        <v>75</v>
      </c>
      <c r="M9" s="79" t="s">
        <v>76</v>
      </c>
      <c r="O9" s="79" t="s">
        <v>77</v>
      </c>
      <c r="Q9" s="79" t="s">
        <v>78</v>
      </c>
      <c r="S9" s="79" t="s">
        <v>79</v>
      </c>
      <c r="U9" s="79" t="s">
        <v>80</v>
      </c>
    </row>
    <row r="10" spans="1:21">
      <c r="B10" s="1" t="s">
        <v>28</v>
      </c>
      <c r="C10" s="5">
        <v>4.2999999999999997E-2</v>
      </c>
    </row>
    <row r="12" spans="1:21" s="6" customFormat="1">
      <c r="A12" s="6" t="s">
        <v>81</v>
      </c>
      <c r="J12" s="28" t="s">
        <v>25</v>
      </c>
    </row>
    <row r="17" spans="1:9">
      <c r="A17" s="68" t="s">
        <v>58</v>
      </c>
    </row>
    <row r="18" spans="1:9" ht="15.95" thickBot="1"/>
    <row r="19" spans="1:9" ht="15.95" thickBot="1">
      <c r="B19" s="1" t="s">
        <v>82</v>
      </c>
      <c r="C19">
        <f>C20*((1-(1+C21)^(-C22))/C21)</f>
        <v>20.349892972086472</v>
      </c>
      <c r="G19" s="34" t="s">
        <v>40</v>
      </c>
      <c r="H19" s="65">
        <f>C22</f>
        <v>36.209260259322576</v>
      </c>
      <c r="I19" t="s">
        <v>83</v>
      </c>
    </row>
    <row r="20" spans="1:9">
      <c r="B20" s="1" t="s">
        <v>84</v>
      </c>
      <c r="C20">
        <v>1</v>
      </c>
    </row>
    <row r="21" spans="1:9">
      <c r="B21" s="1" t="s">
        <v>28</v>
      </c>
      <c r="C21" s="5">
        <v>3.5000000000000003E-2</v>
      </c>
    </row>
    <row r="22" spans="1:9">
      <c r="B22" s="1" t="s">
        <v>40</v>
      </c>
      <c r="C22">
        <v>36.209260259322576</v>
      </c>
    </row>
  </sheetData>
  <hyperlinks>
    <hyperlink ref="K1" location="Índice!A1" display="Regreso al Índice" xr:uid="{00000000-0004-0000-0600-000000000000}"/>
    <hyperlink ref="J12" location="Índice!A1" display="Regreso al Índice" xr:uid="{00000000-0004-0000-0600-000001000000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69"/>
  <sheetViews>
    <sheetView showGridLines="0" workbookViewId="0">
      <selection activeCell="K1" sqref="K1"/>
    </sheetView>
  </sheetViews>
  <sheetFormatPr defaultColWidth="11.42578125" defaultRowHeight="15"/>
  <cols>
    <col min="7" max="7" width="15.7109375" bestFit="1" customWidth="1"/>
    <col min="8" max="8" width="14.42578125" customWidth="1"/>
  </cols>
  <sheetData>
    <row r="1" spans="1:11" s="6" customFormat="1" ht="17.100000000000001">
      <c r="A1" s="7" t="s">
        <v>85</v>
      </c>
      <c r="H1" s="28"/>
      <c r="K1" s="28" t="s">
        <v>25</v>
      </c>
    </row>
    <row r="6" spans="1:11">
      <c r="A6" s="68" t="s">
        <v>58</v>
      </c>
    </row>
    <row r="7" spans="1:11" ht="15.95" thickBot="1"/>
    <row r="8" spans="1:11">
      <c r="B8" s="1" t="s">
        <v>86</v>
      </c>
      <c r="C8">
        <v>1</v>
      </c>
      <c r="G8" s="30" t="s">
        <v>87</v>
      </c>
      <c r="H8" s="36">
        <f>C8*C14</f>
        <v>2.0349999999999961</v>
      </c>
      <c r="I8" t="str">
        <f ca="1">_xlfn.FORMULATEXT(H8)</f>
        <v>=C8*C14</v>
      </c>
    </row>
    <row r="9" spans="1:11" ht="18" thickBot="1">
      <c r="B9" s="1" t="s">
        <v>27</v>
      </c>
      <c r="C9" s="2">
        <v>7.0000000000000007E-2</v>
      </c>
      <c r="G9" s="37" t="s">
        <v>87</v>
      </c>
      <c r="H9" s="39">
        <f>FV(C12,C10*C11,-C8,,0)</f>
        <v>2.0349999999999961</v>
      </c>
      <c r="I9" t="str">
        <f ca="1">_xlfn.FORMULATEXT(H9)</f>
        <v>=VF(C12,C10*C11,-C8,,0)</v>
      </c>
    </row>
    <row r="10" spans="1:11">
      <c r="B10" s="1" t="s">
        <v>40</v>
      </c>
      <c r="C10">
        <v>1</v>
      </c>
    </row>
    <row r="11" spans="1:11">
      <c r="B11" s="1" t="s">
        <v>29</v>
      </c>
      <c r="C11">
        <v>2</v>
      </c>
    </row>
    <row r="12" spans="1:11" ht="17.100000000000001">
      <c r="B12" s="1" t="s">
        <v>62</v>
      </c>
      <c r="C12" s="9">
        <f>C9/C11</f>
        <v>3.5000000000000003E-2</v>
      </c>
    </row>
    <row r="13" spans="1:11" ht="15.95" thickBot="1"/>
    <row r="14" spans="1:11" ht="18" thickBot="1">
      <c r="B14" s="34" t="s">
        <v>88</v>
      </c>
      <c r="C14" s="65">
        <f>(((1+C12)^(C10*C11))-1)/C12</f>
        <v>2.0349999999999961</v>
      </c>
      <c r="D14" t="s">
        <v>89</v>
      </c>
    </row>
    <row r="15" spans="1:11">
      <c r="C15" s="3"/>
    </row>
    <row r="17" spans="1:10" s="6" customFormat="1" ht="17.100000000000001">
      <c r="A17" s="7" t="s">
        <v>90</v>
      </c>
      <c r="H17" s="28"/>
      <c r="J17" s="28" t="s">
        <v>25</v>
      </c>
    </row>
    <row r="22" spans="1:10">
      <c r="A22" s="68" t="s">
        <v>58</v>
      </c>
    </row>
    <row r="23" spans="1:10" ht="15.95" thickBot="1"/>
    <row r="24" spans="1:10">
      <c r="B24" s="1" t="s">
        <v>86</v>
      </c>
      <c r="C24">
        <v>1000</v>
      </c>
      <c r="G24" s="30" t="s">
        <v>87</v>
      </c>
      <c r="H24" s="36">
        <f>C24*C30</f>
        <v>17531.167061100023</v>
      </c>
      <c r="I24" t="str">
        <f ca="1">_xlfn.FORMULATEXT(H24)</f>
        <v>=C24*C30</v>
      </c>
    </row>
    <row r="25" spans="1:10" ht="18" thickBot="1">
      <c r="B25" s="1" t="s">
        <v>27</v>
      </c>
      <c r="C25" s="2">
        <v>0.1</v>
      </c>
      <c r="G25" s="37" t="s">
        <v>87</v>
      </c>
      <c r="H25" s="39">
        <f>FV(C28,C26*C27,-C24,,1)</f>
        <v>17531.167061100023</v>
      </c>
      <c r="I25" t="str">
        <f ca="1">_xlfn.FORMULATEXT(H25)</f>
        <v>=VF(C28,C26*C27,-C24,,1)</v>
      </c>
    </row>
    <row r="26" spans="1:10">
      <c r="B26" s="1" t="s">
        <v>40</v>
      </c>
      <c r="C26">
        <v>10</v>
      </c>
    </row>
    <row r="27" spans="1:10">
      <c r="B27" s="1" t="s">
        <v>29</v>
      </c>
      <c r="C27">
        <v>1</v>
      </c>
    </row>
    <row r="28" spans="1:10" ht="17.100000000000001">
      <c r="B28" s="1" t="s">
        <v>62</v>
      </c>
      <c r="C28" s="9">
        <f>C25/C27</f>
        <v>0.1</v>
      </c>
    </row>
    <row r="29" spans="1:10" ht="15.95" thickBot="1"/>
    <row r="30" spans="1:10" ht="18" thickBot="1">
      <c r="B30" s="34" t="s">
        <v>88</v>
      </c>
      <c r="C30" s="43">
        <f>((((1+C28)^(C26*C27))-1)/C28)*(1+C28)</f>
        <v>17.531167061100021</v>
      </c>
      <c r="D30" t="s">
        <v>89</v>
      </c>
    </row>
    <row r="31" spans="1:10">
      <c r="C31" s="3"/>
    </row>
    <row r="35" spans="1:13" ht="17.100000000000001">
      <c r="A35" s="7" t="s">
        <v>91</v>
      </c>
      <c r="B35" s="6"/>
      <c r="C35" s="6"/>
      <c r="D35" s="6"/>
      <c r="E35" s="6"/>
      <c r="F35" s="6"/>
      <c r="G35" s="6"/>
      <c r="H35" s="28"/>
      <c r="I35" s="6"/>
      <c r="J35" s="6"/>
      <c r="K35" s="6"/>
      <c r="L35" s="28" t="s">
        <v>25</v>
      </c>
      <c r="M35" s="6"/>
    </row>
    <row r="38" spans="1:13">
      <c r="G38" s="1" t="s">
        <v>92</v>
      </c>
    </row>
    <row r="40" spans="1:13">
      <c r="A40" s="68" t="s">
        <v>58</v>
      </c>
    </row>
    <row r="41" spans="1:13" ht="15.95" thickBot="1"/>
    <row r="42" spans="1:13">
      <c r="B42" s="1" t="s">
        <v>93</v>
      </c>
      <c r="C42">
        <v>4000</v>
      </c>
      <c r="G42" s="30" t="s">
        <v>94</v>
      </c>
      <c r="H42" s="36">
        <f>C42*C51</f>
        <v>204981.29510606939</v>
      </c>
      <c r="I42" t="str">
        <f ca="1">_xlfn.FORMULATEXT(H42)</f>
        <v>=C42*C51</v>
      </c>
    </row>
    <row r="43" spans="1:13" ht="15.95" thickBot="1">
      <c r="B43" s="1" t="s">
        <v>35</v>
      </c>
      <c r="C43">
        <v>4</v>
      </c>
      <c r="G43" s="37" t="s">
        <v>94</v>
      </c>
      <c r="H43" s="39">
        <f>FV(C49,C46,-C42,,0)</f>
        <v>204981.29510606939</v>
      </c>
      <c r="I43" t="str">
        <f ca="1">_xlfn.FORMULATEXT(H43)</f>
        <v>=VF(C49,C46,-C42,,0)</v>
      </c>
    </row>
    <row r="44" spans="1:13">
      <c r="B44" s="1" t="s">
        <v>95</v>
      </c>
      <c r="C44">
        <f>C42/C43</f>
        <v>1000</v>
      </c>
    </row>
    <row r="45" spans="1:13">
      <c r="B45" s="1" t="s">
        <v>40</v>
      </c>
      <c r="C45">
        <v>10</v>
      </c>
    </row>
    <row r="46" spans="1:13">
      <c r="B46" s="1" t="s">
        <v>96</v>
      </c>
      <c r="C46">
        <f>C43*C45</f>
        <v>40</v>
      </c>
    </row>
    <row r="47" spans="1:13" ht="17.100000000000001">
      <c r="B47" s="1" t="s">
        <v>27</v>
      </c>
      <c r="C47" s="2">
        <v>0.05</v>
      </c>
    </row>
    <row r="48" spans="1:13">
      <c r="B48" s="1" t="s">
        <v>29</v>
      </c>
      <c r="C48">
        <v>1</v>
      </c>
    </row>
    <row r="49" spans="1:13" ht="17.100000000000001">
      <c r="B49" s="1" t="s">
        <v>97</v>
      </c>
      <c r="C49" s="9">
        <f>((1+C47/C48)^(C48/C43))-1</f>
        <v>1.2272234429039353E-2</v>
      </c>
    </row>
    <row r="50" spans="1:13" ht="15.95" thickBot="1"/>
    <row r="51" spans="1:13" ht="18" thickBot="1">
      <c r="B51" s="34" t="s">
        <v>98</v>
      </c>
      <c r="C51" s="44">
        <f>((1+C49)^(C46)-1)/C49</f>
        <v>51.245323776517345</v>
      </c>
      <c r="D51" t="str">
        <f ca="1">_xlfn.FORMULATEXT(C51)</f>
        <v>=((1+C49)^(C46)-1)/C49</v>
      </c>
    </row>
    <row r="56" spans="1:13">
      <c r="A56" s="7" t="s">
        <v>99</v>
      </c>
      <c r="B56" s="6"/>
      <c r="C56" s="6"/>
      <c r="D56" s="6"/>
      <c r="E56" s="6"/>
      <c r="F56" s="6"/>
      <c r="G56" s="6"/>
      <c r="H56" s="28"/>
      <c r="I56" s="6"/>
      <c r="J56" s="6"/>
      <c r="K56" s="6"/>
      <c r="L56" s="28" t="s">
        <v>25</v>
      </c>
      <c r="M56" s="6"/>
    </row>
    <row r="61" spans="1:13">
      <c r="A61" s="68" t="s">
        <v>58</v>
      </c>
    </row>
    <row r="62" spans="1:13" ht="15.95" thickBot="1"/>
    <row r="63" spans="1:13" ht="15.95" thickBot="1">
      <c r="B63" s="1" t="s">
        <v>86</v>
      </c>
      <c r="C63">
        <v>500</v>
      </c>
      <c r="G63" s="34" t="s">
        <v>94</v>
      </c>
      <c r="H63" s="49">
        <f>C63*C69</f>
        <v>14414.987709473193</v>
      </c>
      <c r="I63" t="str">
        <f ca="1">_xlfn.FORMULATEXT(H63)</f>
        <v>=C63*C69</v>
      </c>
    </row>
    <row r="64" spans="1:13">
      <c r="B64" s="1" t="s">
        <v>35</v>
      </c>
      <c r="C64" s="84" t="s">
        <v>56</v>
      </c>
    </row>
    <row r="65" spans="2:4">
      <c r="B65" s="1" t="s">
        <v>40</v>
      </c>
      <c r="C65">
        <v>18</v>
      </c>
    </row>
    <row r="66" spans="2:4">
      <c r="B66" s="1" t="s">
        <v>28</v>
      </c>
      <c r="C66" s="2">
        <v>0.05</v>
      </c>
    </row>
    <row r="67" spans="2:4">
      <c r="B67" s="8" t="s">
        <v>30</v>
      </c>
      <c r="C67" s="5">
        <f>LN(1+C66)</f>
        <v>4.8790164169432049E-2</v>
      </c>
    </row>
    <row r="68" spans="2:4" ht="15.95" thickBot="1"/>
    <row r="69" spans="2:4" ht="23.25" customHeight="1" thickBot="1">
      <c r="B69" s="85"/>
      <c r="C69" s="86">
        <f>((1+C66)^C65-1)/C67</f>
        <v>28.829975418946386</v>
      </c>
      <c r="D69" s="87" t="str">
        <f ca="1">_xlfn.FORMULATEXT(C69)</f>
        <v>=((1+C66)^C65-1)/C67</v>
      </c>
    </row>
  </sheetData>
  <hyperlinks>
    <hyperlink ref="K1" location="Índice!A1" display="Regreso al Índice" xr:uid="{00000000-0004-0000-0700-000000000000}"/>
    <hyperlink ref="J17" location="Índice!A1" display="Regreso al Índice" xr:uid="{00000000-0004-0000-0700-000001000000}"/>
    <hyperlink ref="L35" location="Índice!A1" display="Regreso al Índice" xr:uid="{B25C8F1E-AE44-4CEA-9068-77B2775BB4D2}"/>
    <hyperlink ref="L56" location="Índice!A1" display="Regreso al Índice" xr:uid="{9E208551-B3B9-47D0-AF2F-26DA2D595EAC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84"/>
  <sheetViews>
    <sheetView showGridLines="0" zoomScale="130" zoomScaleNormal="130" workbookViewId="0">
      <selection activeCell="K1" sqref="K1"/>
    </sheetView>
  </sheetViews>
  <sheetFormatPr defaultColWidth="11.42578125" defaultRowHeight="15"/>
  <cols>
    <col min="3" max="3" width="21.140625" bestFit="1" customWidth="1"/>
    <col min="7" max="7" width="15.7109375" bestFit="1" customWidth="1"/>
    <col min="8" max="8" width="16.140625" bestFit="1" customWidth="1"/>
  </cols>
  <sheetData>
    <row r="1" spans="1:11" s="6" customFormat="1" ht="17.100000000000001">
      <c r="A1" s="7" t="s">
        <v>100</v>
      </c>
      <c r="H1" s="28"/>
      <c r="K1" s="28" t="s">
        <v>25</v>
      </c>
    </row>
    <row r="6" spans="1:11">
      <c r="A6" s="68" t="s">
        <v>58</v>
      </c>
    </row>
    <row r="7" spans="1:11" ht="15.95" thickBot="1"/>
    <row r="8" spans="1:11">
      <c r="B8" s="1" t="s">
        <v>86</v>
      </c>
      <c r="C8">
        <v>6100</v>
      </c>
      <c r="G8" s="30" t="s">
        <v>94</v>
      </c>
      <c r="H8" s="36">
        <f>C8*C14</f>
        <v>26409.807690848007</v>
      </c>
      <c r="I8" t="str">
        <f ca="1">_xlfn.FORMULATEXT(H8)</f>
        <v>=C8*C14</v>
      </c>
    </row>
    <row r="9" spans="1:11" ht="18" thickBot="1">
      <c r="B9" s="1" t="s">
        <v>27</v>
      </c>
      <c r="C9" s="2">
        <v>0.05</v>
      </c>
      <c r="G9" s="37" t="s">
        <v>94</v>
      </c>
      <c r="H9" s="39">
        <f>PV(C12,C10*C11,-C8,,0)</f>
        <v>26409.807690848007</v>
      </c>
      <c r="I9" t="str">
        <f ca="1">_xlfn.FORMULATEXT(H9)</f>
        <v>=VA(C12,C10*C11,-C8,,0)</v>
      </c>
    </row>
    <row r="10" spans="1:11">
      <c r="B10" s="1" t="s">
        <v>40</v>
      </c>
      <c r="C10">
        <v>5</v>
      </c>
    </row>
    <row r="11" spans="1:11">
      <c r="B11" s="1" t="s">
        <v>29</v>
      </c>
      <c r="C11">
        <v>1</v>
      </c>
    </row>
    <row r="12" spans="1:11" ht="17.100000000000001">
      <c r="B12" s="1" t="s">
        <v>62</v>
      </c>
      <c r="C12">
        <f>C9/C11</f>
        <v>0.05</v>
      </c>
    </row>
    <row r="13" spans="1:11" ht="15.95" thickBot="1"/>
    <row r="14" spans="1:11" ht="18" thickBot="1">
      <c r="B14" s="34" t="s">
        <v>101</v>
      </c>
      <c r="C14" s="44">
        <f>(1-((1+C12)^(-C10*C11)))/C12</f>
        <v>4.3294766706308208</v>
      </c>
      <c r="D14" t="str">
        <f ca="1">_xlfn.FORMULATEXT(C14)</f>
        <v>=(1-((1+C12)^(-C10*C11)))/C12</v>
      </c>
    </row>
    <row r="16" spans="1:11" s="6" customFormat="1" ht="17.100000000000001">
      <c r="A16" s="7" t="s">
        <v>102</v>
      </c>
      <c r="H16" s="28"/>
      <c r="K16" s="28" t="s">
        <v>25</v>
      </c>
    </row>
    <row r="20" spans="1:11">
      <c r="A20" s="68" t="s">
        <v>58</v>
      </c>
    </row>
    <row r="21" spans="1:11" ht="15.95" thickBot="1"/>
    <row r="22" spans="1:11">
      <c r="B22" s="1" t="s">
        <v>86</v>
      </c>
      <c r="C22">
        <v>6100</v>
      </c>
      <c r="G22" s="30" t="s">
        <v>94</v>
      </c>
      <c r="H22" s="36">
        <f>C22*C28</f>
        <v>27730.298075390408</v>
      </c>
      <c r="I22" t="str">
        <f ca="1">_xlfn.FORMULATEXT(H22)</f>
        <v>=C22*C28</v>
      </c>
    </row>
    <row r="23" spans="1:11" ht="18" thickBot="1">
      <c r="B23" s="1" t="s">
        <v>27</v>
      </c>
      <c r="C23" s="2">
        <v>0.05</v>
      </c>
      <c r="G23" s="37" t="s">
        <v>94</v>
      </c>
      <c r="H23" s="39">
        <f>PV(C26,C24*C25,-C22,,1)</f>
        <v>27730.298075390408</v>
      </c>
      <c r="I23" t="str">
        <f ca="1">_xlfn.FORMULATEXT(H23)</f>
        <v>=VA(C26,C24*C25,-C22,,1)</v>
      </c>
    </row>
    <row r="24" spans="1:11">
      <c r="B24" s="1" t="s">
        <v>40</v>
      </c>
      <c r="C24">
        <v>5</v>
      </c>
      <c r="I24" s="18"/>
    </row>
    <row r="25" spans="1:11">
      <c r="B25" s="1" t="s">
        <v>29</v>
      </c>
      <c r="C25">
        <v>1</v>
      </c>
    </row>
    <row r="26" spans="1:11" ht="17.100000000000001">
      <c r="B26" s="1" t="s">
        <v>62</v>
      </c>
      <c r="C26">
        <f>C23/C25</f>
        <v>0.05</v>
      </c>
    </row>
    <row r="27" spans="1:11" ht="15.95" thickBot="1"/>
    <row r="28" spans="1:11" ht="18" thickBot="1">
      <c r="B28" s="34" t="s">
        <v>101</v>
      </c>
      <c r="C28" s="44">
        <f>((1-((1+C26)^(-C24*C25)))/C26)*(1+C26)</f>
        <v>4.545950504162362</v>
      </c>
      <c r="D28" t="s">
        <v>103</v>
      </c>
    </row>
    <row r="30" spans="1:11" s="6" customFormat="1" ht="17.100000000000001">
      <c r="A30" s="7" t="s">
        <v>104</v>
      </c>
      <c r="K30" s="28" t="s">
        <v>25</v>
      </c>
    </row>
    <row r="34" spans="1:13">
      <c r="A34" s="68" t="s">
        <v>58</v>
      </c>
    </row>
    <row r="35" spans="1:13" ht="15.95" thickBot="1"/>
    <row r="36" spans="1:13">
      <c r="B36" s="1" t="s">
        <v>86</v>
      </c>
      <c r="C36">
        <v>4200</v>
      </c>
      <c r="G36" s="30" t="s">
        <v>94</v>
      </c>
      <c r="H36" s="36">
        <f>C36*C41</f>
        <v>84000</v>
      </c>
      <c r="I36" t="str">
        <f ca="1">_xlfn.FORMULATEXT(H36)</f>
        <v>=C36*C41</v>
      </c>
    </row>
    <row r="37" spans="1:13" ht="15.95" thickBot="1">
      <c r="B37" s="1" t="s">
        <v>28</v>
      </c>
      <c r="C37" s="2">
        <v>0.05</v>
      </c>
      <c r="G37" s="37" t="s">
        <v>94</v>
      </c>
      <c r="H37" s="39">
        <f>PV(C39,1000,-C36,,0)</f>
        <v>84000</v>
      </c>
      <c r="I37" t="str">
        <f ca="1">_xlfn.FORMULATEXT(H37)</f>
        <v>=VA(C39,1000,-C36,,0)</v>
      </c>
    </row>
    <row r="38" spans="1:13">
      <c r="B38" s="1" t="s">
        <v>29</v>
      </c>
      <c r="C38">
        <v>1</v>
      </c>
    </row>
    <row r="39" spans="1:13" ht="17.100000000000001">
      <c r="B39" s="1" t="s">
        <v>62</v>
      </c>
      <c r="C39">
        <f>C37/C38</f>
        <v>0.05</v>
      </c>
    </row>
    <row r="40" spans="1:13" ht="15.95" thickBot="1"/>
    <row r="41" spans="1:13" ht="18" thickBot="1">
      <c r="B41" s="34" t="s">
        <v>105</v>
      </c>
      <c r="C41" s="44">
        <f>1/C39</f>
        <v>20</v>
      </c>
      <c r="D41" t="str">
        <f ca="1">_xlfn.FORMULATEXT(C41)</f>
        <v>=1/C39</v>
      </c>
    </row>
    <row r="46" spans="1:13" ht="17.100000000000001">
      <c r="A46" s="7" t="s">
        <v>106</v>
      </c>
      <c r="B46" s="6"/>
      <c r="C46" s="6"/>
      <c r="D46" s="6"/>
      <c r="E46" s="6"/>
      <c r="F46" s="6"/>
      <c r="G46" s="6"/>
      <c r="H46" s="28"/>
      <c r="I46" s="6"/>
      <c r="J46" s="6"/>
      <c r="K46" s="6"/>
      <c r="L46" s="28" t="s">
        <v>25</v>
      </c>
      <c r="M46" s="6"/>
    </row>
    <row r="51" spans="1:9">
      <c r="A51" s="68" t="s">
        <v>58</v>
      </c>
    </row>
    <row r="52" spans="1:9" ht="15.95" thickBot="1"/>
    <row r="53" spans="1:9">
      <c r="B53" s="1" t="s">
        <v>93</v>
      </c>
      <c r="C53">
        <v>4000</v>
      </c>
      <c r="G53" s="30" t="s">
        <v>94</v>
      </c>
      <c r="H53" s="36">
        <f>C53*C62</f>
        <v>75824.034435024281</v>
      </c>
      <c r="I53" t="str">
        <f ca="1">_xlfn.FORMULATEXT(H53)</f>
        <v>=C53*C62</v>
      </c>
    </row>
    <row r="54" spans="1:9" ht="15.95" thickBot="1">
      <c r="B54" s="1" t="s">
        <v>35</v>
      </c>
      <c r="C54">
        <v>4</v>
      </c>
      <c r="G54" s="37" t="s">
        <v>94</v>
      </c>
      <c r="H54" s="39">
        <f>PV(C60,C57,-C53,,0)</f>
        <v>75824.034435024281</v>
      </c>
      <c r="I54" t="str">
        <f ca="1">_xlfn.FORMULATEXT(H54)</f>
        <v>=VA(C60,C57,-C53,,0)</v>
      </c>
    </row>
    <row r="55" spans="1:9">
      <c r="B55" s="1" t="s">
        <v>95</v>
      </c>
      <c r="C55">
        <f>C53/C54</f>
        <v>1000</v>
      </c>
    </row>
    <row r="56" spans="1:9">
      <c r="B56" s="1" t="s">
        <v>40</v>
      </c>
      <c r="C56">
        <v>6</v>
      </c>
    </row>
    <row r="57" spans="1:9">
      <c r="B57" s="1" t="s">
        <v>96</v>
      </c>
      <c r="C57">
        <f>C54*C56</f>
        <v>24</v>
      </c>
    </row>
    <row r="58" spans="1:9" ht="17.100000000000001">
      <c r="B58" s="1" t="s">
        <v>27</v>
      </c>
      <c r="C58" s="2">
        <v>0.08</v>
      </c>
    </row>
    <row r="59" spans="1:9">
      <c r="B59" s="1" t="s">
        <v>29</v>
      </c>
      <c r="C59">
        <v>2</v>
      </c>
    </row>
    <row r="60" spans="1:9" ht="17.100000000000001">
      <c r="B60" s="1" t="s">
        <v>97</v>
      </c>
      <c r="C60" s="9">
        <f>((1+C58/C59)^(C59/C54))-1</f>
        <v>1.9803902718557032E-2</v>
      </c>
    </row>
    <row r="61" spans="1:9" ht="15.95" thickBot="1"/>
    <row r="62" spans="1:9" ht="18" thickBot="1">
      <c r="B62" s="34" t="s">
        <v>107</v>
      </c>
      <c r="C62" s="44">
        <f>(1-((1+C60)^(-C57)))/C60</f>
        <v>18.956008608756072</v>
      </c>
      <c r="D62" t="str">
        <f ca="1">_xlfn.FORMULATEXT(C62)</f>
        <v>=(1-((1+C60)^(-C57)))/C60</v>
      </c>
    </row>
    <row r="68" spans="1:13">
      <c r="A68" s="7" t="s">
        <v>108</v>
      </c>
      <c r="B68" s="6"/>
      <c r="C68" s="6"/>
      <c r="D68" s="6"/>
      <c r="E68" s="6"/>
      <c r="F68" s="6"/>
      <c r="G68" s="6"/>
      <c r="H68" s="28"/>
      <c r="I68" s="6"/>
      <c r="J68" s="6"/>
      <c r="K68" s="6"/>
      <c r="L68" s="28" t="s">
        <v>25</v>
      </c>
      <c r="M68" s="6"/>
    </row>
    <row r="73" spans="1:13">
      <c r="A73" s="68" t="s">
        <v>58</v>
      </c>
    </row>
    <row r="74" spans="1:13" ht="15.95" thickBot="1"/>
    <row r="75" spans="1:13" ht="15.95" thickBot="1">
      <c r="B75" s="1" t="s">
        <v>86</v>
      </c>
      <c r="C75">
        <v>500</v>
      </c>
      <c r="G75" s="34" t="s">
        <v>94</v>
      </c>
      <c r="H75" s="49">
        <f>C75*C81</f>
        <v>5989.7251329470218</v>
      </c>
      <c r="I75" t="str">
        <f ca="1">_xlfn.FORMULATEXT(H75)</f>
        <v>=C75*C81</v>
      </c>
    </row>
    <row r="76" spans="1:13">
      <c r="B76" s="1" t="s">
        <v>35</v>
      </c>
      <c r="C76" s="84" t="s">
        <v>56</v>
      </c>
    </row>
    <row r="77" spans="1:13">
      <c r="B77" s="1" t="s">
        <v>40</v>
      </c>
      <c r="C77">
        <v>18</v>
      </c>
    </row>
    <row r="78" spans="1:13">
      <c r="B78" s="1" t="s">
        <v>28</v>
      </c>
      <c r="C78" s="2">
        <v>0.05</v>
      </c>
    </row>
    <row r="79" spans="1:13">
      <c r="B79" s="8" t="s">
        <v>30</v>
      </c>
      <c r="C79" s="5">
        <f>LN(1+C78)</f>
        <v>4.8790164169432049E-2</v>
      </c>
    </row>
    <row r="80" spans="1:13" ht="15.95" thickBot="1"/>
    <row r="81" spans="2:4" ht="18" thickBot="1">
      <c r="B81" s="85" t="s">
        <v>109</v>
      </c>
      <c r="C81" s="49">
        <f>(1-(1+C78)^(-C77))/C79</f>
        <v>11.979450265894044</v>
      </c>
      <c r="D81" t="str">
        <f ca="1">_xlfn.FORMULATEXT(C81)</f>
        <v>=(1-(1+C78)^(-C77))/C79</v>
      </c>
    </row>
    <row r="84" spans="2:4">
      <c r="B84" s="83"/>
    </row>
  </sheetData>
  <hyperlinks>
    <hyperlink ref="K1" location="Índice!A1" display="Regreso al Índice" xr:uid="{00000000-0004-0000-0800-000000000000}"/>
    <hyperlink ref="K16" location="Índice!A1" display="Regreso al Índice" xr:uid="{00000000-0004-0000-0800-000001000000}"/>
    <hyperlink ref="K30" location="Índice!A1" display="Regreso al Índice" xr:uid="{00000000-0004-0000-0800-000002000000}"/>
    <hyperlink ref="L46" location="Índice!A1" display="Regreso al Índice" xr:uid="{42E0107B-FF99-4031-868F-C0F89116D1B7}"/>
    <hyperlink ref="L68" location="Índice!A1" display="Regreso al Índice" xr:uid="{C1BEB127-CF0C-4D24-B249-CDADA9D6769D}"/>
  </hyperlink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78"/>
  <sheetViews>
    <sheetView showGridLines="0" zoomScaleNormal="100" workbookViewId="0">
      <selection activeCell="K1" sqref="K1"/>
    </sheetView>
  </sheetViews>
  <sheetFormatPr defaultColWidth="11.42578125" defaultRowHeight="15"/>
  <cols>
    <col min="3" max="3" width="24" bestFit="1" customWidth="1"/>
    <col min="5" max="5" width="26.42578125" bestFit="1" customWidth="1"/>
    <col min="6" max="6" width="23.28515625" bestFit="1" customWidth="1"/>
  </cols>
  <sheetData>
    <row r="1" spans="1:11" s="6" customFormat="1" ht="17.100000000000001">
      <c r="A1" s="7" t="s">
        <v>110</v>
      </c>
      <c r="K1" s="28" t="s">
        <v>25</v>
      </c>
    </row>
    <row r="6" spans="1:11">
      <c r="A6" s="68" t="s">
        <v>111</v>
      </c>
    </row>
    <row r="8" spans="1:11">
      <c r="B8" s="1" t="s">
        <v>86</v>
      </c>
      <c r="C8" s="16" t="s">
        <v>36</v>
      </c>
      <c r="G8" s="1" t="s">
        <v>82</v>
      </c>
      <c r="H8" s="18">
        <v>584990</v>
      </c>
    </row>
    <row r="9" spans="1:11" ht="17.100000000000001">
      <c r="B9" s="1" t="s">
        <v>27</v>
      </c>
      <c r="C9" s="5">
        <v>0.1789</v>
      </c>
      <c r="G9" s="1" t="s">
        <v>112</v>
      </c>
      <c r="H9" s="18">
        <f>H8*15%</f>
        <v>87748.5</v>
      </c>
    </row>
    <row r="10" spans="1:11" ht="15.95" thickBot="1">
      <c r="B10" s="1" t="s">
        <v>40</v>
      </c>
      <c r="C10">
        <f>60/12</f>
        <v>5</v>
      </c>
      <c r="G10" s="1" t="s">
        <v>113</v>
      </c>
      <c r="H10" s="18">
        <f>H8-H9</f>
        <v>497241.5</v>
      </c>
      <c r="I10" t="s">
        <v>114</v>
      </c>
    </row>
    <row r="11" spans="1:11">
      <c r="B11" s="1" t="s">
        <v>29</v>
      </c>
      <c r="C11">
        <v>12</v>
      </c>
      <c r="G11" s="30" t="s">
        <v>86</v>
      </c>
      <c r="H11" s="48">
        <f>H10/C14</f>
        <v>12596.929995713281</v>
      </c>
      <c r="I11" t="str">
        <f ca="1">_xlfn.FORMULATEXT(H11)</f>
        <v>=H10/C14</v>
      </c>
    </row>
    <row r="12" spans="1:11" ht="18" thickBot="1">
      <c r="B12" s="1" t="s">
        <v>62</v>
      </c>
      <c r="C12">
        <f>C9/C11</f>
        <v>1.4908333333333334E-2</v>
      </c>
      <c r="G12" s="37" t="s">
        <v>86</v>
      </c>
      <c r="H12" s="39">
        <f>PMT(C12,C10*C11,-H10,,0)</f>
        <v>12596.929995713268</v>
      </c>
      <c r="I12" t="str">
        <f ca="1">_xlfn.FORMULATEXT(H12)</f>
        <v>=PAGO(C12,C10*C11,-H10,,0)</v>
      </c>
    </row>
    <row r="13" spans="1:11" ht="15.95" thickBot="1"/>
    <row r="14" spans="1:11" ht="18" thickBot="1">
      <c r="B14" s="34" t="s">
        <v>101</v>
      </c>
      <c r="C14" s="44">
        <f>(1-((1+C12)^(-C10*C11)))/C12</f>
        <v>39.473228808067574</v>
      </c>
      <c r="D14" t="str">
        <f ca="1">_xlfn.FORMULATEXT(C14)</f>
        <v>=(1-((1+C12)^(-C10*C11)))/C12</v>
      </c>
    </row>
    <row r="16" spans="1:11">
      <c r="C16" s="17" t="s">
        <v>115</v>
      </c>
      <c r="D16" s="25">
        <f>SUM(D19:D78)</f>
        <v>258574.29974279559</v>
      </c>
      <c r="E16" s="25">
        <f>SUM(E19:E78)</f>
        <v>497241.50000000122</v>
      </c>
    </row>
    <row r="17" spans="2:6" ht="15.95" thickBot="1"/>
    <row r="18" spans="2:6">
      <c r="B18" s="45" t="s">
        <v>116</v>
      </c>
      <c r="C18" s="46" t="s">
        <v>117</v>
      </c>
      <c r="D18" s="46" t="s">
        <v>118</v>
      </c>
      <c r="E18" s="46" t="s">
        <v>119</v>
      </c>
      <c r="F18" s="47" t="s">
        <v>120</v>
      </c>
    </row>
    <row r="19" spans="2:6">
      <c r="B19" s="19">
        <v>1</v>
      </c>
      <c r="C19" s="20">
        <f>H10</f>
        <v>497241.5</v>
      </c>
      <c r="D19" s="20">
        <f>$C$12*C19</f>
        <v>7413.0420291666669</v>
      </c>
      <c r="E19" s="20">
        <f t="shared" ref="E19:E50" si="0">$H$11-D19</f>
        <v>5183.8879665466138</v>
      </c>
      <c r="F19" s="21">
        <f>C19-E19</f>
        <v>492057.61203345336</v>
      </c>
    </row>
    <row r="20" spans="2:6">
      <c r="B20" s="19">
        <v>2</v>
      </c>
      <c r="C20" s="20">
        <f>F19</f>
        <v>492057.61203345336</v>
      </c>
      <c r="D20" s="20">
        <f>$C$12*C20</f>
        <v>7335.7588993987347</v>
      </c>
      <c r="E20" s="20">
        <f t="shared" si="0"/>
        <v>5261.171096314546</v>
      </c>
      <c r="F20" s="21">
        <f>C20-E20</f>
        <v>486796.4409371388</v>
      </c>
    </row>
    <row r="21" spans="2:6">
      <c r="B21" s="19">
        <v>3</v>
      </c>
      <c r="C21" s="20">
        <f t="shared" ref="C21:C78" si="1">F20</f>
        <v>486796.4409371388</v>
      </c>
      <c r="D21" s="20">
        <f t="shared" ref="D21:D78" si="2">$C$12*C21</f>
        <v>7257.3236069711784</v>
      </c>
      <c r="E21" s="20">
        <f t="shared" si="0"/>
        <v>5339.6063887421024</v>
      </c>
      <c r="F21" s="21">
        <f t="shared" ref="F21:F78" si="3">C21-E21</f>
        <v>481456.8345483967</v>
      </c>
    </row>
    <row r="22" spans="2:6">
      <c r="B22" s="19">
        <v>4</v>
      </c>
      <c r="C22" s="20">
        <f t="shared" si="1"/>
        <v>481456.8345483967</v>
      </c>
      <c r="D22" s="20">
        <f t="shared" si="2"/>
        <v>7177.7189750590142</v>
      </c>
      <c r="E22" s="20">
        <f t="shared" si="0"/>
        <v>5419.2110206542666</v>
      </c>
      <c r="F22" s="21">
        <f t="shared" si="3"/>
        <v>476037.62352774246</v>
      </c>
    </row>
    <row r="23" spans="2:6">
      <c r="B23" s="19">
        <v>5</v>
      </c>
      <c r="C23" s="20">
        <f t="shared" si="1"/>
        <v>476037.62352774246</v>
      </c>
      <c r="D23" s="20">
        <f t="shared" si="2"/>
        <v>7096.9275707594279</v>
      </c>
      <c r="E23" s="20">
        <f t="shared" si="0"/>
        <v>5500.0024249538528</v>
      </c>
      <c r="F23" s="21">
        <f t="shared" si="3"/>
        <v>470537.6211027886</v>
      </c>
    </row>
    <row r="24" spans="2:6">
      <c r="B24" s="19">
        <v>6</v>
      </c>
      <c r="C24" s="20">
        <f t="shared" si="1"/>
        <v>470537.6211027886</v>
      </c>
      <c r="D24" s="20">
        <f t="shared" si="2"/>
        <v>7014.9317012740739</v>
      </c>
      <c r="E24" s="20">
        <f t="shared" si="0"/>
        <v>5581.9982944392068</v>
      </c>
      <c r="F24" s="21">
        <f t="shared" si="3"/>
        <v>464955.62280834938</v>
      </c>
    </row>
    <row r="25" spans="2:6">
      <c r="B25" s="19">
        <v>7</v>
      </c>
      <c r="C25" s="20">
        <f t="shared" si="1"/>
        <v>464955.62280834938</v>
      </c>
      <c r="D25" s="20">
        <f t="shared" si="2"/>
        <v>6931.7134100344756</v>
      </c>
      <c r="E25" s="20">
        <f t="shared" si="0"/>
        <v>5665.2165856788051</v>
      </c>
      <c r="F25" s="21">
        <f t="shared" si="3"/>
        <v>459290.40622267057</v>
      </c>
    </row>
    <row r="26" spans="2:6">
      <c r="B26" s="19">
        <v>8</v>
      </c>
      <c r="C26" s="20">
        <f t="shared" si="1"/>
        <v>459290.40622267057</v>
      </c>
      <c r="D26" s="20">
        <f t="shared" si="2"/>
        <v>6847.2544727696477</v>
      </c>
      <c r="E26" s="20">
        <f t="shared" si="0"/>
        <v>5749.675522943633</v>
      </c>
      <c r="F26" s="21">
        <f t="shared" si="3"/>
        <v>453540.73069972696</v>
      </c>
    </row>
    <row r="27" spans="2:6">
      <c r="B27" s="19">
        <v>9</v>
      </c>
      <c r="C27" s="20">
        <f t="shared" si="1"/>
        <v>453540.73069972696</v>
      </c>
      <c r="D27" s="20">
        <f t="shared" si="2"/>
        <v>6761.5363935150963</v>
      </c>
      <c r="E27" s="20">
        <f t="shared" si="0"/>
        <v>5835.3936021981845</v>
      </c>
      <c r="F27" s="21">
        <f t="shared" si="3"/>
        <v>447705.3370975288</v>
      </c>
    </row>
    <row r="28" spans="2:6">
      <c r="B28" s="19">
        <v>10</v>
      </c>
      <c r="C28" s="20">
        <f t="shared" si="1"/>
        <v>447705.3370975288</v>
      </c>
      <c r="D28" s="20">
        <f t="shared" si="2"/>
        <v>6674.5404005623259</v>
      </c>
      <c r="E28" s="20">
        <f t="shared" si="0"/>
        <v>5922.3895951509548</v>
      </c>
      <c r="F28" s="21">
        <f t="shared" si="3"/>
        <v>441782.94750237785</v>
      </c>
    </row>
    <row r="29" spans="2:6">
      <c r="B29" s="19">
        <v>11</v>
      </c>
      <c r="C29" s="20">
        <f t="shared" si="1"/>
        <v>441782.94750237785</v>
      </c>
      <c r="D29" s="20">
        <f t="shared" si="2"/>
        <v>6586.2474423479498</v>
      </c>
      <c r="E29" s="20">
        <f t="shared" si="0"/>
        <v>6010.6825533653309</v>
      </c>
      <c r="F29" s="21">
        <f t="shared" si="3"/>
        <v>435772.26494901255</v>
      </c>
    </row>
    <row r="30" spans="2:6">
      <c r="B30" s="19">
        <v>12</v>
      </c>
      <c r="C30" s="20">
        <f t="shared" si="1"/>
        <v>435772.26494901255</v>
      </c>
      <c r="D30" s="20">
        <f t="shared" si="2"/>
        <v>6496.6381832815296</v>
      </c>
      <c r="E30" s="20">
        <f t="shared" si="0"/>
        <v>6100.2918124317512</v>
      </c>
      <c r="F30" s="21">
        <f t="shared" si="3"/>
        <v>429671.97313658078</v>
      </c>
    </row>
    <row r="31" spans="2:6">
      <c r="B31" s="19">
        <v>13</v>
      </c>
      <c r="C31" s="20">
        <f t="shared" si="1"/>
        <v>429671.97313658078</v>
      </c>
      <c r="D31" s="20">
        <f t="shared" si="2"/>
        <v>6405.6929995111923</v>
      </c>
      <c r="E31" s="20">
        <f t="shared" si="0"/>
        <v>6191.2369962020884</v>
      </c>
      <c r="F31" s="21">
        <f t="shared" si="3"/>
        <v>423480.73614037869</v>
      </c>
    </row>
    <row r="32" spans="2:6">
      <c r="B32" s="19">
        <v>14</v>
      </c>
      <c r="C32" s="20">
        <f t="shared" si="1"/>
        <v>423480.73614037869</v>
      </c>
      <c r="D32" s="20">
        <f t="shared" si="2"/>
        <v>6313.3919746261463</v>
      </c>
      <c r="E32" s="20">
        <f t="shared" si="0"/>
        <v>6283.5380210871344</v>
      </c>
      <c r="F32" s="21">
        <f t="shared" si="3"/>
        <v>417197.19811929157</v>
      </c>
    </row>
    <row r="33" spans="2:6">
      <c r="B33" s="19">
        <v>15</v>
      </c>
      <c r="C33" s="20">
        <f t="shared" si="1"/>
        <v>417197.19811929157</v>
      </c>
      <c r="D33" s="20">
        <f t="shared" si="2"/>
        <v>6219.7148952951056</v>
      </c>
      <c r="E33" s="20">
        <f t="shared" si="0"/>
        <v>6377.2151004181751</v>
      </c>
      <c r="F33" s="21">
        <f t="shared" si="3"/>
        <v>410819.98301887338</v>
      </c>
    </row>
    <row r="34" spans="2:6">
      <c r="B34" s="19">
        <v>16</v>
      </c>
      <c r="C34" s="20">
        <f t="shared" si="1"/>
        <v>410819.98301887338</v>
      </c>
      <c r="D34" s="20">
        <f t="shared" si="2"/>
        <v>6124.6412468397039</v>
      </c>
      <c r="E34" s="20">
        <f t="shared" si="0"/>
        <v>6472.2887488735769</v>
      </c>
      <c r="F34" s="21">
        <f t="shared" si="3"/>
        <v>404347.6942699998</v>
      </c>
    </row>
    <row r="35" spans="2:6">
      <c r="B35" s="19">
        <v>17</v>
      </c>
      <c r="C35" s="20">
        <f t="shared" si="1"/>
        <v>404347.6942699998</v>
      </c>
      <c r="D35" s="20">
        <f t="shared" si="2"/>
        <v>6028.150208741914</v>
      </c>
      <c r="E35" s="20">
        <f t="shared" si="0"/>
        <v>6568.7797869713668</v>
      </c>
      <c r="F35" s="21">
        <f t="shared" si="3"/>
        <v>397778.91448302846</v>
      </c>
    </row>
    <row r="36" spans="2:6">
      <c r="B36" s="19">
        <v>18</v>
      </c>
      <c r="C36" s="20">
        <f t="shared" si="1"/>
        <v>397778.91448302846</v>
      </c>
      <c r="D36" s="20">
        <f t="shared" si="2"/>
        <v>5930.2206500844832</v>
      </c>
      <c r="E36" s="20">
        <f t="shared" si="0"/>
        <v>6666.7093456287976</v>
      </c>
      <c r="F36" s="21">
        <f t="shared" si="3"/>
        <v>391112.20513739967</v>
      </c>
    </row>
    <row r="37" spans="2:6">
      <c r="B37" s="19">
        <v>19</v>
      </c>
      <c r="C37" s="20">
        <f t="shared" si="1"/>
        <v>391112.20513739967</v>
      </c>
      <c r="D37" s="20">
        <f t="shared" si="2"/>
        <v>5830.8311249234002</v>
      </c>
      <c r="E37" s="20">
        <f t="shared" si="0"/>
        <v>6766.0988707898805</v>
      </c>
      <c r="F37" s="21">
        <f t="shared" si="3"/>
        <v>384346.1062666098</v>
      </c>
    </row>
    <row r="38" spans="2:6">
      <c r="B38" s="19">
        <v>20</v>
      </c>
      <c r="C38" s="20">
        <f t="shared" si="1"/>
        <v>384346.1062666098</v>
      </c>
      <c r="D38" s="20">
        <f t="shared" si="2"/>
        <v>5729.9598675913749</v>
      </c>
      <c r="E38" s="20">
        <f t="shared" si="0"/>
        <v>6866.9701281219059</v>
      </c>
      <c r="F38" s="21">
        <f t="shared" si="3"/>
        <v>377479.1361384879</v>
      </c>
    </row>
    <row r="39" spans="2:6">
      <c r="B39" s="19">
        <v>21</v>
      </c>
      <c r="C39" s="20">
        <f t="shared" si="1"/>
        <v>377479.1361384879</v>
      </c>
      <c r="D39" s="20">
        <f t="shared" si="2"/>
        <v>5627.5847879312905</v>
      </c>
      <c r="E39" s="20">
        <f t="shared" si="0"/>
        <v>6969.3452077819902</v>
      </c>
      <c r="F39" s="21">
        <f t="shared" si="3"/>
        <v>370509.7909307059</v>
      </c>
    </row>
    <row r="40" spans="2:6">
      <c r="B40" s="19">
        <v>22</v>
      </c>
      <c r="C40" s="20">
        <f t="shared" si="1"/>
        <v>370509.7909307059</v>
      </c>
      <c r="D40" s="20">
        <f t="shared" si="2"/>
        <v>5523.6834664586077</v>
      </c>
      <c r="E40" s="20">
        <f t="shared" si="0"/>
        <v>7073.2465292546731</v>
      </c>
      <c r="F40" s="21">
        <f t="shared" si="3"/>
        <v>363436.54440145125</v>
      </c>
    </row>
    <row r="41" spans="2:6">
      <c r="B41" s="19">
        <v>23</v>
      </c>
      <c r="C41" s="20">
        <f t="shared" si="1"/>
        <v>363436.54440145125</v>
      </c>
      <c r="D41" s="20">
        <f t="shared" si="2"/>
        <v>5418.2331494516357</v>
      </c>
      <c r="E41" s="20">
        <f t="shared" si="0"/>
        <v>7178.6968462616451</v>
      </c>
      <c r="F41" s="21">
        <f t="shared" si="3"/>
        <v>356257.84755518963</v>
      </c>
    </row>
    <row r="42" spans="2:6">
      <c r="B42" s="19">
        <v>24</v>
      </c>
      <c r="C42" s="20">
        <f t="shared" si="1"/>
        <v>356257.84755518963</v>
      </c>
      <c r="D42" s="20">
        <f t="shared" si="2"/>
        <v>5311.2107439686188</v>
      </c>
      <c r="E42" s="20">
        <f t="shared" si="0"/>
        <v>7285.719251744662</v>
      </c>
      <c r="F42" s="21">
        <f t="shared" si="3"/>
        <v>348972.12830344494</v>
      </c>
    </row>
    <row r="43" spans="2:6">
      <c r="B43" s="19">
        <v>25</v>
      </c>
      <c r="C43" s="20">
        <f t="shared" si="1"/>
        <v>348972.12830344494</v>
      </c>
      <c r="D43" s="20">
        <f t="shared" si="2"/>
        <v>5202.5928127905254</v>
      </c>
      <c r="E43" s="20">
        <f t="shared" si="0"/>
        <v>7394.3371829227553</v>
      </c>
      <c r="F43" s="21">
        <f t="shared" si="3"/>
        <v>341577.79112052219</v>
      </c>
    </row>
    <row r="44" spans="2:6">
      <c r="B44" s="19">
        <v>26</v>
      </c>
      <c r="C44" s="20">
        <f t="shared" si="1"/>
        <v>341577.79112052219</v>
      </c>
      <c r="D44" s="20">
        <f t="shared" si="2"/>
        <v>5092.355569288452</v>
      </c>
      <c r="E44" s="20">
        <f t="shared" si="0"/>
        <v>7504.5744264248287</v>
      </c>
      <c r="F44" s="21">
        <f t="shared" si="3"/>
        <v>334073.21669409738</v>
      </c>
    </row>
    <row r="45" spans="2:6">
      <c r="B45" s="19">
        <v>27</v>
      </c>
      <c r="C45" s="20">
        <f t="shared" si="1"/>
        <v>334073.21669409738</v>
      </c>
      <c r="D45" s="20">
        <f t="shared" si="2"/>
        <v>4980.4748722145023</v>
      </c>
      <c r="E45" s="20">
        <f t="shared" si="0"/>
        <v>7616.4551234987784</v>
      </c>
      <c r="F45" s="21">
        <f t="shared" si="3"/>
        <v>326456.76157059858</v>
      </c>
    </row>
    <row r="46" spans="2:6">
      <c r="B46" s="19">
        <v>28</v>
      </c>
      <c r="C46" s="20">
        <f t="shared" si="1"/>
        <v>326456.76157059858</v>
      </c>
      <c r="D46" s="20">
        <f t="shared" si="2"/>
        <v>4866.9262204150073</v>
      </c>
      <c r="E46" s="20">
        <f t="shared" si="0"/>
        <v>7730.0037752982735</v>
      </c>
      <c r="F46" s="21">
        <f t="shared" si="3"/>
        <v>318726.75779530033</v>
      </c>
    </row>
    <row r="47" spans="2:6">
      <c r="B47" s="19">
        <v>29</v>
      </c>
      <c r="C47" s="20">
        <f t="shared" si="1"/>
        <v>318726.75779530033</v>
      </c>
      <c r="D47" s="20">
        <f t="shared" si="2"/>
        <v>4751.6847474649358</v>
      </c>
      <c r="E47" s="20">
        <f t="shared" si="0"/>
        <v>7845.245248248345</v>
      </c>
      <c r="F47" s="21">
        <f t="shared" si="3"/>
        <v>310881.512547052</v>
      </c>
    </row>
    <row r="48" spans="2:6">
      <c r="B48" s="19">
        <v>30</v>
      </c>
      <c r="C48" s="20">
        <f t="shared" si="1"/>
        <v>310881.512547052</v>
      </c>
      <c r="D48" s="20">
        <f t="shared" si="2"/>
        <v>4634.7252162223003</v>
      </c>
      <c r="E48" s="20">
        <f t="shared" si="0"/>
        <v>7962.2047794909804</v>
      </c>
      <c r="F48" s="21">
        <f t="shared" si="3"/>
        <v>302919.307767561</v>
      </c>
    </row>
    <row r="49" spans="2:6">
      <c r="B49" s="19">
        <v>31</v>
      </c>
      <c r="C49" s="20">
        <f t="shared" si="1"/>
        <v>302919.307767561</v>
      </c>
      <c r="D49" s="20">
        <f t="shared" si="2"/>
        <v>4516.0220133013891</v>
      </c>
      <c r="E49" s="20">
        <f t="shared" si="0"/>
        <v>8080.9079824118917</v>
      </c>
      <c r="F49" s="21">
        <f t="shared" si="3"/>
        <v>294838.39978514909</v>
      </c>
    </row>
    <row r="50" spans="2:6">
      <c r="B50" s="19">
        <v>32</v>
      </c>
      <c r="C50" s="20">
        <f t="shared" si="1"/>
        <v>294838.39978514909</v>
      </c>
      <c r="D50" s="20">
        <f t="shared" si="2"/>
        <v>4395.5491434635978</v>
      </c>
      <c r="E50" s="20">
        <f t="shared" si="0"/>
        <v>8201.3808522496838</v>
      </c>
      <c r="F50" s="21">
        <f t="shared" si="3"/>
        <v>286637.0189328994</v>
      </c>
    </row>
    <row r="51" spans="2:6">
      <c r="B51" s="19">
        <v>33</v>
      </c>
      <c r="C51" s="20">
        <f t="shared" si="1"/>
        <v>286637.0189328994</v>
      </c>
      <c r="D51" s="20">
        <f t="shared" si="2"/>
        <v>4273.2802239246421</v>
      </c>
      <c r="E51" s="20">
        <f t="shared" ref="E51:E78" si="4">$H$11-D51</f>
        <v>8323.6497717886377</v>
      </c>
      <c r="F51" s="21">
        <f t="shared" si="3"/>
        <v>278313.36916111078</v>
      </c>
    </row>
    <row r="52" spans="2:6">
      <c r="B52" s="19">
        <v>34</v>
      </c>
      <c r="C52" s="20">
        <f t="shared" si="1"/>
        <v>278313.36916111078</v>
      </c>
      <c r="D52" s="20">
        <f t="shared" si="2"/>
        <v>4149.1884785768934</v>
      </c>
      <c r="E52" s="20">
        <f t="shared" si="4"/>
        <v>8447.7415171363864</v>
      </c>
      <c r="F52" s="21">
        <f t="shared" si="3"/>
        <v>269865.62764397438</v>
      </c>
    </row>
    <row r="53" spans="2:6">
      <c r="B53" s="19">
        <v>35</v>
      </c>
      <c r="C53" s="20">
        <f t="shared" si="1"/>
        <v>269865.62764397438</v>
      </c>
      <c r="D53" s="20">
        <f t="shared" si="2"/>
        <v>4023.2467321255849</v>
      </c>
      <c r="E53" s="20">
        <f t="shared" si="4"/>
        <v>8573.6832635876963</v>
      </c>
      <c r="F53" s="21">
        <f t="shared" si="3"/>
        <v>261291.94438038667</v>
      </c>
    </row>
    <row r="54" spans="2:6">
      <c r="B54" s="19">
        <v>36</v>
      </c>
      <c r="C54" s="20">
        <f t="shared" si="1"/>
        <v>261291.94438038667</v>
      </c>
      <c r="D54" s="20">
        <f t="shared" si="2"/>
        <v>3895.4274041375984</v>
      </c>
      <c r="E54" s="20">
        <f t="shared" si="4"/>
        <v>8701.5025915756814</v>
      </c>
      <c r="F54" s="21">
        <f t="shared" si="3"/>
        <v>252590.441788811</v>
      </c>
    </row>
    <row r="55" spans="2:6">
      <c r="B55" s="19">
        <v>37</v>
      </c>
      <c r="C55" s="20">
        <f t="shared" si="1"/>
        <v>252590.441788811</v>
      </c>
      <c r="D55" s="20">
        <f t="shared" si="2"/>
        <v>3765.7025030015243</v>
      </c>
      <c r="E55" s="20">
        <f t="shared" si="4"/>
        <v>8831.227492711756</v>
      </c>
      <c r="F55" s="21">
        <f t="shared" si="3"/>
        <v>243759.21429609924</v>
      </c>
    </row>
    <row r="56" spans="2:6">
      <c r="B56" s="19">
        <v>38</v>
      </c>
      <c r="C56" s="20">
        <f t="shared" si="1"/>
        <v>243759.21429609924</v>
      </c>
      <c r="D56" s="20">
        <f t="shared" si="2"/>
        <v>3634.0436197976796</v>
      </c>
      <c r="E56" s="20">
        <f t="shared" si="4"/>
        <v>8962.8863759156011</v>
      </c>
      <c r="F56" s="21">
        <f t="shared" si="3"/>
        <v>234796.32792018363</v>
      </c>
    </row>
    <row r="57" spans="2:6">
      <c r="B57" s="19">
        <v>39</v>
      </c>
      <c r="C57" s="20">
        <f t="shared" si="1"/>
        <v>234796.32792018363</v>
      </c>
      <c r="D57" s="20">
        <f t="shared" si="2"/>
        <v>3500.4219220767377</v>
      </c>
      <c r="E57" s="20">
        <f t="shared" si="4"/>
        <v>9096.5080736365435</v>
      </c>
      <c r="F57" s="21">
        <f t="shared" si="3"/>
        <v>225699.81984654709</v>
      </c>
    </row>
    <row r="58" spans="2:6">
      <c r="B58" s="19">
        <v>40</v>
      </c>
      <c r="C58" s="20">
        <f t="shared" si="1"/>
        <v>225699.81984654709</v>
      </c>
      <c r="D58" s="20">
        <f t="shared" si="2"/>
        <v>3364.8081475456065</v>
      </c>
      <c r="E58" s="20">
        <f t="shared" si="4"/>
        <v>9232.1218481676733</v>
      </c>
      <c r="F58" s="21">
        <f t="shared" si="3"/>
        <v>216467.69799837942</v>
      </c>
    </row>
    <row r="59" spans="2:6">
      <c r="B59" s="19">
        <v>41</v>
      </c>
      <c r="C59" s="20">
        <f t="shared" si="1"/>
        <v>216467.69799837942</v>
      </c>
      <c r="D59" s="20">
        <f t="shared" si="2"/>
        <v>3227.1725976591733</v>
      </c>
      <c r="E59" s="20">
        <f t="shared" si="4"/>
        <v>9369.7573980541074</v>
      </c>
      <c r="F59" s="21">
        <f t="shared" si="3"/>
        <v>207097.9406003253</v>
      </c>
    </row>
    <row r="60" spans="2:6">
      <c r="B60" s="19">
        <v>42</v>
      </c>
      <c r="C60" s="20">
        <f t="shared" si="1"/>
        <v>207097.9406003253</v>
      </c>
      <c r="D60" s="20">
        <f t="shared" si="2"/>
        <v>3087.4851311165166</v>
      </c>
      <c r="E60" s="20">
        <f t="shared" si="4"/>
        <v>9509.4448645967641</v>
      </c>
      <c r="F60" s="21">
        <f t="shared" si="3"/>
        <v>197588.49573572853</v>
      </c>
    </row>
    <row r="61" spans="2:6">
      <c r="B61" s="19">
        <v>43</v>
      </c>
      <c r="C61" s="20">
        <f t="shared" si="1"/>
        <v>197588.49573572853</v>
      </c>
      <c r="D61" s="20">
        <f t="shared" si="2"/>
        <v>2945.7151572601529</v>
      </c>
      <c r="E61" s="20">
        <f t="shared" si="4"/>
        <v>9651.2148384531283</v>
      </c>
      <c r="F61" s="21">
        <f t="shared" si="3"/>
        <v>187937.2808972754</v>
      </c>
    </row>
    <row r="62" spans="2:6">
      <c r="B62" s="19">
        <v>44</v>
      </c>
      <c r="C62" s="20">
        <f t="shared" si="1"/>
        <v>187937.2808972754</v>
      </c>
      <c r="D62" s="20">
        <f t="shared" si="2"/>
        <v>2801.8316293768808</v>
      </c>
      <c r="E62" s="20">
        <f t="shared" si="4"/>
        <v>9795.0983663364004</v>
      </c>
      <c r="F62" s="21">
        <f t="shared" si="3"/>
        <v>178142.182530939</v>
      </c>
    </row>
    <row r="63" spans="2:6">
      <c r="B63" s="19">
        <v>45</v>
      </c>
      <c r="C63" s="20">
        <f t="shared" si="1"/>
        <v>178142.182530939</v>
      </c>
      <c r="D63" s="20">
        <f t="shared" si="2"/>
        <v>2655.8030378987492</v>
      </c>
      <c r="E63" s="20">
        <f t="shared" si="4"/>
        <v>9941.1269578145311</v>
      </c>
      <c r="F63" s="21">
        <f t="shared" si="3"/>
        <v>168201.05557312447</v>
      </c>
    </row>
    <row r="64" spans="2:6">
      <c r="B64" s="19">
        <v>46</v>
      </c>
      <c r="C64" s="20">
        <f t="shared" si="1"/>
        <v>168201.05557312447</v>
      </c>
      <c r="D64" s="20">
        <f t="shared" si="2"/>
        <v>2507.5974035026643</v>
      </c>
      <c r="E64" s="20">
        <f t="shared" si="4"/>
        <v>10089.332592210616</v>
      </c>
      <c r="F64" s="21">
        <f t="shared" si="3"/>
        <v>158111.72298091385</v>
      </c>
    </row>
    <row r="65" spans="2:6">
      <c r="B65" s="19">
        <v>47</v>
      </c>
      <c r="C65" s="20">
        <f t="shared" si="1"/>
        <v>158111.72298091385</v>
      </c>
      <c r="D65" s="20">
        <f t="shared" si="2"/>
        <v>2357.1822701071242</v>
      </c>
      <c r="E65" s="20">
        <f t="shared" si="4"/>
        <v>10239.747725606157</v>
      </c>
      <c r="F65" s="21">
        <f t="shared" si="3"/>
        <v>147871.97525530768</v>
      </c>
    </row>
    <row r="66" spans="2:6">
      <c r="B66" s="19">
        <v>48</v>
      </c>
      <c r="C66" s="20">
        <f t="shared" si="1"/>
        <v>147871.97525530768</v>
      </c>
      <c r="D66" s="20">
        <f t="shared" si="2"/>
        <v>2204.5246977645456</v>
      </c>
      <c r="E66" s="20">
        <f t="shared" si="4"/>
        <v>10392.405297948735</v>
      </c>
      <c r="F66" s="21">
        <f t="shared" si="3"/>
        <v>137479.56995735894</v>
      </c>
    </row>
    <row r="67" spans="2:6">
      <c r="B67" s="19">
        <v>49</v>
      </c>
      <c r="C67" s="20">
        <f t="shared" si="1"/>
        <v>137479.56995735894</v>
      </c>
      <c r="D67" s="20">
        <f t="shared" si="2"/>
        <v>2049.5912554476263</v>
      </c>
      <c r="E67" s="20">
        <f t="shared" si="4"/>
        <v>10547.338740265655</v>
      </c>
      <c r="F67" s="21">
        <f t="shared" si="3"/>
        <v>126932.23121709329</v>
      </c>
    </row>
    <row r="68" spans="2:6">
      <c r="B68" s="19">
        <v>50</v>
      </c>
      <c r="C68" s="20">
        <f t="shared" si="1"/>
        <v>126932.23121709329</v>
      </c>
      <c r="D68" s="20">
        <f t="shared" si="2"/>
        <v>1892.3480137281658</v>
      </c>
      <c r="E68" s="20">
        <f t="shared" si="4"/>
        <v>10704.581981985115</v>
      </c>
      <c r="F68" s="21">
        <f t="shared" si="3"/>
        <v>116227.64923510817</v>
      </c>
    </row>
    <row r="69" spans="2:6">
      <c r="B69" s="19">
        <v>51</v>
      </c>
      <c r="C69" s="20">
        <f t="shared" si="1"/>
        <v>116227.64923510817</v>
      </c>
      <c r="D69" s="20">
        <f t="shared" si="2"/>
        <v>1732.7605373467377</v>
      </c>
      <c r="E69" s="20">
        <f t="shared" si="4"/>
        <v>10864.169458366543</v>
      </c>
      <c r="F69" s="21">
        <f t="shared" si="3"/>
        <v>105363.47977674163</v>
      </c>
    </row>
    <row r="70" spans="2:6">
      <c r="B70" s="19">
        <v>52</v>
      </c>
      <c r="C70" s="20">
        <f t="shared" si="1"/>
        <v>105363.47977674163</v>
      </c>
      <c r="D70" s="20">
        <f t="shared" si="2"/>
        <v>1570.7938776715898</v>
      </c>
      <c r="E70" s="20">
        <f t="shared" si="4"/>
        <v>11026.136118041692</v>
      </c>
      <c r="F70" s="21">
        <f t="shared" si="3"/>
        <v>94337.343658699945</v>
      </c>
    </row>
    <row r="71" spans="2:6">
      <c r="B71" s="19">
        <v>53</v>
      </c>
      <c r="C71" s="20">
        <f t="shared" si="1"/>
        <v>94337.343658699945</v>
      </c>
      <c r="D71" s="20">
        <f t="shared" si="2"/>
        <v>1406.4125650451185</v>
      </c>
      <c r="E71" s="20">
        <f t="shared" si="4"/>
        <v>11190.517430668162</v>
      </c>
      <c r="F71" s="21">
        <f t="shared" si="3"/>
        <v>83146.826228031787</v>
      </c>
    </row>
    <row r="72" spans="2:6">
      <c r="B72" s="19">
        <v>54</v>
      </c>
      <c r="C72" s="20">
        <f t="shared" si="1"/>
        <v>83146.826228031787</v>
      </c>
      <c r="D72" s="20">
        <f t="shared" si="2"/>
        <v>1239.5806010162407</v>
      </c>
      <c r="E72" s="20">
        <f t="shared" si="4"/>
        <v>11357.349394697039</v>
      </c>
      <c r="F72" s="21">
        <f t="shared" si="3"/>
        <v>71789.476833334746</v>
      </c>
    </row>
    <row r="73" spans="2:6">
      <c r="B73" s="19">
        <v>55</v>
      </c>
      <c r="C73" s="20">
        <f t="shared" si="1"/>
        <v>71789.476833334746</v>
      </c>
      <c r="D73" s="20">
        <f t="shared" si="2"/>
        <v>1070.2614504569656</v>
      </c>
      <c r="E73" s="20">
        <f t="shared" si="4"/>
        <v>11526.668545256314</v>
      </c>
      <c r="F73" s="21">
        <f t="shared" si="3"/>
        <v>60262.808288078435</v>
      </c>
    </row>
    <row r="74" spans="2:6">
      <c r="B74" s="19">
        <v>56</v>
      </c>
      <c r="C74" s="20">
        <f t="shared" si="1"/>
        <v>60262.808288078435</v>
      </c>
      <c r="D74" s="20">
        <f t="shared" si="2"/>
        <v>898.418033561436</v>
      </c>
      <c r="E74" s="20">
        <f t="shared" si="4"/>
        <v>11698.511962151844</v>
      </c>
      <c r="F74" s="21">
        <f t="shared" si="3"/>
        <v>48564.296325926589</v>
      </c>
    </row>
    <row r="75" spans="2:6">
      <c r="B75" s="19">
        <v>57</v>
      </c>
      <c r="C75" s="20">
        <f t="shared" si="1"/>
        <v>48564.296325926589</v>
      </c>
      <c r="D75" s="20">
        <f t="shared" si="2"/>
        <v>724.01271772568896</v>
      </c>
      <c r="E75" s="20">
        <f t="shared" si="4"/>
        <v>11872.917277987592</v>
      </c>
      <c r="F75" s="21">
        <f t="shared" si="3"/>
        <v>36691.379047939001</v>
      </c>
    </row>
    <row r="76" spans="2:6">
      <c r="B76" s="19">
        <v>58</v>
      </c>
      <c r="C76" s="20">
        <f t="shared" si="1"/>
        <v>36691.379047939001</v>
      </c>
      <c r="D76" s="20">
        <f t="shared" si="2"/>
        <v>547.00730930635734</v>
      </c>
      <c r="E76" s="20">
        <f t="shared" si="4"/>
        <v>12049.922686406924</v>
      </c>
      <c r="F76" s="21">
        <f t="shared" si="3"/>
        <v>24641.456361532077</v>
      </c>
    </row>
    <row r="77" spans="2:6">
      <c r="B77" s="19">
        <v>59</v>
      </c>
      <c r="C77" s="20">
        <f t="shared" si="1"/>
        <v>24641.456361532077</v>
      </c>
      <c r="D77" s="20">
        <f t="shared" si="2"/>
        <v>367.36304525650741</v>
      </c>
      <c r="E77" s="20">
        <f t="shared" si="4"/>
        <v>12229.566950456774</v>
      </c>
      <c r="F77" s="21">
        <f t="shared" si="3"/>
        <v>12411.889411075303</v>
      </c>
    </row>
    <row r="78" spans="2:6" ht="15.95" thickBot="1">
      <c r="B78" s="22">
        <v>60</v>
      </c>
      <c r="C78" s="23">
        <f t="shared" si="1"/>
        <v>12411.889411075303</v>
      </c>
      <c r="D78" s="23">
        <f t="shared" si="2"/>
        <v>185.04058463678098</v>
      </c>
      <c r="E78" s="23">
        <f t="shared" si="4"/>
        <v>12411.8894110765</v>
      </c>
      <c r="F78" s="24">
        <f t="shared" si="3"/>
        <v>-1.1968950275331736E-9</v>
      </c>
    </row>
  </sheetData>
  <hyperlinks>
    <hyperlink ref="K1" location="Índice!A1" display="Regreso al Índice" xr:uid="{00000000-0004-0000-0900-000000000000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6"/>
  <sheetViews>
    <sheetView showGridLines="0" workbookViewId="0">
      <selection activeCell="K1" sqref="K1"/>
    </sheetView>
  </sheetViews>
  <sheetFormatPr defaultColWidth="11.42578125" defaultRowHeight="15"/>
  <cols>
    <col min="2" max="2" width="13.28515625" bestFit="1" customWidth="1"/>
    <col min="3" max="3" width="14.140625" bestFit="1" customWidth="1"/>
    <col min="7" max="7" width="13.28515625" bestFit="1" customWidth="1"/>
    <col min="8" max="8" width="16.140625" bestFit="1" customWidth="1"/>
    <col min="9" max="9" width="13.140625" bestFit="1" customWidth="1"/>
  </cols>
  <sheetData>
    <row r="1" spans="1:11" s="6" customFormat="1" ht="17.100000000000001">
      <c r="A1" s="7" t="s">
        <v>121</v>
      </c>
      <c r="K1" s="28" t="s">
        <v>25</v>
      </c>
    </row>
    <row r="6" spans="1:11">
      <c r="A6" s="68" t="s">
        <v>58</v>
      </c>
      <c r="H6" s="1"/>
      <c r="I6" s="3"/>
    </row>
    <row r="7" spans="1:11" ht="15.95" thickBot="1">
      <c r="A7" s="68"/>
      <c r="H7" s="1"/>
      <c r="I7" s="3"/>
    </row>
    <row r="8" spans="1:11" ht="18" thickBot="1">
      <c r="B8" s="1" t="s">
        <v>122</v>
      </c>
      <c r="C8" s="3">
        <v>400</v>
      </c>
      <c r="G8" s="34" t="s">
        <v>87</v>
      </c>
      <c r="H8" s="49">
        <f>C8*C16</f>
        <v>259911.25290359027</v>
      </c>
      <c r="I8" t="str">
        <f ca="1">_xlfn.FORMULATEXT(H8)</f>
        <v>=C8*C16</v>
      </c>
    </row>
    <row r="9" spans="1:11" ht="17.100000000000001">
      <c r="B9" s="1" t="s">
        <v>27</v>
      </c>
      <c r="C9" s="2">
        <v>3.6900000000000002E-2</v>
      </c>
    </row>
    <row r="10" spans="1:11">
      <c r="B10" s="1" t="s">
        <v>40</v>
      </c>
      <c r="C10">
        <v>42</v>
      </c>
    </row>
    <row r="11" spans="1:11">
      <c r="B11" s="1" t="s">
        <v>29</v>
      </c>
      <c r="C11">
        <v>6</v>
      </c>
    </row>
    <row r="12" spans="1:11" ht="17.100000000000001">
      <c r="B12" s="1" t="s">
        <v>62</v>
      </c>
      <c r="C12" s="9">
        <f>C9/C11</f>
        <v>6.1500000000000001E-3</v>
      </c>
    </row>
    <row r="13" spans="1:11">
      <c r="B13" s="1" t="s">
        <v>123</v>
      </c>
      <c r="C13" s="5">
        <v>5.0000000000000001E-3</v>
      </c>
    </row>
    <row r="14" spans="1:11" ht="17.100000000000001">
      <c r="B14" s="1" t="s">
        <v>124</v>
      </c>
      <c r="C14" s="9">
        <f>C13/C11</f>
        <v>8.3333333333333339E-4</v>
      </c>
    </row>
    <row r="15" spans="1:11" ht="15.95" thickBot="1"/>
    <row r="16" spans="1:11" ht="15.95" thickBot="1">
      <c r="B16" s="34" t="s">
        <v>125</v>
      </c>
      <c r="C16" s="50">
        <f>(((1+C12)^(C10*C11))-((1+C14)^(C10*C11)))/(C12-C14)</f>
        <v>649.77813225897569</v>
      </c>
      <c r="D16" t="str">
        <f ca="1">_xlfn.FORMULATEXT(C16)</f>
        <v>=(((1+C12)^(C10*C11))-((1+C14)^(C10*C11)))/(C12-C14)</v>
      </c>
    </row>
  </sheetData>
  <hyperlinks>
    <hyperlink ref="K1" location="Índice!A1" display="Regreso al Índice" xr:uid="{00000000-0004-0000-0A00-000000000000}"/>
  </hyperlink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7"/>
  <sheetViews>
    <sheetView showGridLines="0" workbookViewId="0">
      <selection activeCell="K1" sqref="K1"/>
    </sheetView>
  </sheetViews>
  <sheetFormatPr defaultColWidth="11.42578125" defaultRowHeight="15"/>
  <cols>
    <col min="2" max="2" width="13.42578125" bestFit="1" customWidth="1"/>
    <col min="3" max="3" width="14.140625" bestFit="1" customWidth="1"/>
    <col min="7" max="7" width="15.7109375" bestFit="1" customWidth="1"/>
    <col min="8" max="8" width="16.140625" bestFit="1" customWidth="1"/>
    <col min="9" max="9" width="13.140625" bestFit="1" customWidth="1"/>
  </cols>
  <sheetData>
    <row r="1" spans="1:11" s="6" customFormat="1" ht="17.100000000000001">
      <c r="A1" s="7" t="s">
        <v>126</v>
      </c>
      <c r="K1" s="28" t="s">
        <v>25</v>
      </c>
    </row>
    <row r="7" spans="1:11">
      <c r="A7" s="68" t="s">
        <v>58</v>
      </c>
    </row>
    <row r="8" spans="1:11" ht="15.95" thickBot="1"/>
    <row r="9" spans="1:11" ht="18" thickBot="1">
      <c r="B9" s="1" t="s">
        <v>122</v>
      </c>
      <c r="C9" s="3">
        <v>150000</v>
      </c>
      <c r="G9" s="51" t="s">
        <v>94</v>
      </c>
      <c r="H9" s="49">
        <f>C9*C17</f>
        <v>2833881.1110492582</v>
      </c>
      <c r="I9" t="str">
        <f ca="1">_xlfn.FORMULATEXT(H9)</f>
        <v>=C9*C17</v>
      </c>
    </row>
    <row r="10" spans="1:11" ht="17.100000000000001">
      <c r="B10" s="1" t="s">
        <v>27</v>
      </c>
      <c r="C10" s="2">
        <v>0.11</v>
      </c>
    </row>
    <row r="11" spans="1:11">
      <c r="B11" s="1" t="s">
        <v>40</v>
      </c>
      <c r="C11">
        <f>25/4</f>
        <v>6.25</v>
      </c>
      <c r="G11" s="1" t="s">
        <v>127</v>
      </c>
      <c r="H11" s="3">
        <v>500000</v>
      </c>
    </row>
    <row r="12" spans="1:11">
      <c r="B12" s="1" t="s">
        <v>29</v>
      </c>
      <c r="C12">
        <v>4</v>
      </c>
      <c r="G12" s="1" t="s">
        <v>128</v>
      </c>
      <c r="H12" s="10">
        <f>H9+H11</f>
        <v>3333881.1110492582</v>
      </c>
    </row>
    <row r="13" spans="1:11" ht="17.100000000000001">
      <c r="B13" s="1" t="s">
        <v>62</v>
      </c>
      <c r="C13" s="9">
        <f>C10/C12</f>
        <v>2.75E-2</v>
      </c>
    </row>
    <row r="14" spans="1:11">
      <c r="B14" s="1" t="s">
        <v>123</v>
      </c>
      <c r="C14" s="2">
        <v>0.02</v>
      </c>
    </row>
    <row r="15" spans="1:11" ht="17.100000000000001">
      <c r="B15" s="1" t="s">
        <v>124</v>
      </c>
      <c r="C15" s="9">
        <f>C14/C12</f>
        <v>5.0000000000000001E-3</v>
      </c>
    </row>
    <row r="16" spans="1:11" ht="15.95" thickBot="1"/>
    <row r="17" spans="2:4" ht="15.95" thickBot="1">
      <c r="B17" s="34" t="s">
        <v>129</v>
      </c>
      <c r="C17" s="50">
        <f>((1-((1+C15)/(1+C13))^(C11*C12))/(C13-C15))</f>
        <v>18.892540740328389</v>
      </c>
      <c r="D17" t="str">
        <f ca="1">_xlfn.FORMULATEXT(C17)</f>
        <v>=((1-((1+C15)/(1+C13))^(C11*C12))/(C13-C15))</v>
      </c>
    </row>
  </sheetData>
  <hyperlinks>
    <hyperlink ref="K1" location="Índice!A1" display="Regreso al Índice" xr:uid="{00000000-0004-0000-0B00-000000000000}"/>
  </hyperlink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20"/>
  <sheetViews>
    <sheetView showGridLines="0" zoomScale="135" workbookViewId="0">
      <selection activeCell="C19" sqref="C19"/>
    </sheetView>
  </sheetViews>
  <sheetFormatPr defaultColWidth="11.42578125" defaultRowHeight="15"/>
  <cols>
    <col min="2" max="2" width="21.85546875" bestFit="1" customWidth="1"/>
    <col min="3" max="3" width="14.140625" bestFit="1" customWidth="1"/>
    <col min="7" max="7" width="23.85546875" bestFit="1" customWidth="1"/>
    <col min="8" max="8" width="15.42578125" customWidth="1"/>
    <col min="9" max="9" width="13.140625" bestFit="1" customWidth="1"/>
  </cols>
  <sheetData>
    <row r="1" spans="1:11" s="6" customFormat="1">
      <c r="A1" s="7" t="s">
        <v>130</v>
      </c>
      <c r="K1" s="28" t="s">
        <v>25</v>
      </c>
    </row>
    <row r="6" spans="1:11">
      <c r="A6" s="68" t="s">
        <v>58</v>
      </c>
    </row>
    <row r="8" spans="1:11">
      <c r="B8" s="1" t="s">
        <v>131</v>
      </c>
      <c r="C8" s="54">
        <v>43990</v>
      </c>
      <c r="G8" s="1" t="s">
        <v>132</v>
      </c>
      <c r="H8" s="53">
        <f>(C12/C14)*C19</f>
        <v>594.82652884233903</v>
      </c>
    </row>
    <row r="9" spans="1:11">
      <c r="B9" s="1" t="s">
        <v>133</v>
      </c>
      <c r="C9" s="54">
        <f>C8+(365.25*C16)</f>
        <v>47277.25</v>
      </c>
      <c r="G9" s="1" t="s">
        <v>134</v>
      </c>
      <c r="H9" s="10">
        <f>C13*C20</f>
        <v>702.58673557883048</v>
      </c>
    </row>
    <row r="10" spans="1:11" ht="15.95" thickBot="1">
      <c r="B10" s="1" t="s">
        <v>135</v>
      </c>
      <c r="C10" s="5">
        <v>0.08</v>
      </c>
    </row>
    <row r="11" spans="1:11">
      <c r="B11" s="1" t="s">
        <v>136</v>
      </c>
      <c r="C11" s="5">
        <v>0.04</v>
      </c>
      <c r="G11" s="30" t="s">
        <v>137</v>
      </c>
      <c r="H11" s="36">
        <f>H8+H9</f>
        <v>1297.4132644211695</v>
      </c>
      <c r="I11" t="str">
        <f ca="1">_xlfn.FORMULATEXT(H11)</f>
        <v>=H8+H9</v>
      </c>
    </row>
    <row r="12" spans="1:11" ht="15.95" thickBot="1">
      <c r="B12" s="1" t="s">
        <v>138</v>
      </c>
      <c r="C12" s="3">
        <f>C10*C13</f>
        <v>80</v>
      </c>
      <c r="G12" s="37" t="s">
        <v>137</v>
      </c>
      <c r="H12" s="38">
        <f>PRICE(C8,C9,C10,C11,C13/H13,C14,0)*H13</f>
        <v>1297.4132644211686</v>
      </c>
      <c r="I12" t="str">
        <f ca="1">_xlfn.FORMULATEXT(H12)</f>
        <v>=PRECIO(C8,C9,C10,C11,C13/H13,C14,0)*H13</v>
      </c>
    </row>
    <row r="13" spans="1:11">
      <c r="B13" s="1" t="s">
        <v>139</v>
      </c>
      <c r="C13" s="55">
        <v>1000</v>
      </c>
      <c r="G13" s="1" t="s">
        <v>140</v>
      </c>
      <c r="H13">
        <f>C13/100</f>
        <v>10</v>
      </c>
    </row>
    <row r="14" spans="1:11">
      <c r="B14" s="1" t="s">
        <v>141</v>
      </c>
      <c r="C14" s="3">
        <v>1</v>
      </c>
    </row>
    <row r="15" spans="1:11" ht="17.100000000000001">
      <c r="B15" s="1" t="s">
        <v>142</v>
      </c>
      <c r="C15" s="5">
        <f>C11/C14</f>
        <v>0.04</v>
      </c>
    </row>
    <row r="16" spans="1:11">
      <c r="B16" s="1" t="s">
        <v>143</v>
      </c>
      <c r="C16" s="3">
        <v>9</v>
      </c>
    </row>
    <row r="17" spans="2:4">
      <c r="B17" s="1" t="s">
        <v>137</v>
      </c>
      <c r="C17" s="3" t="s">
        <v>36</v>
      </c>
    </row>
    <row r="18" spans="2:4" ht="15.95" thickBot="1"/>
    <row r="19" spans="2:4">
      <c r="B19" s="30" t="s">
        <v>144</v>
      </c>
      <c r="C19" s="56">
        <f>(1-(1+C15)^(-(C16*C14)))/C15</f>
        <v>7.4353316105292384</v>
      </c>
      <c r="D19" t="str">
        <f ca="1">_xlfn.FORMULATEXT(C19)</f>
        <v>=(1-(1+C15)^(-(C16*C14)))/C15</v>
      </c>
    </row>
    <row r="20" spans="2:4" ht="15.95" thickBot="1">
      <c r="B20" s="37" t="s">
        <v>145</v>
      </c>
      <c r="C20" s="57">
        <f>(1+C15)^(-C16*C14)</f>
        <v>0.70258673557883045</v>
      </c>
      <c r="D20" t="str">
        <f ca="1">_xlfn.FORMULATEXT(C20)</f>
        <v>=(1+C15)^(-C16*C14)</v>
      </c>
    </row>
  </sheetData>
  <hyperlinks>
    <hyperlink ref="K1" location="Índice!A1" display="Regreso al Índice" xr:uid="{00000000-0004-0000-0C00-000000000000}"/>
  </hyperlink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22"/>
  <sheetViews>
    <sheetView showGridLines="0" workbookViewId="0">
      <selection activeCell="K1" sqref="K1"/>
    </sheetView>
  </sheetViews>
  <sheetFormatPr defaultColWidth="11.42578125" defaultRowHeight="15"/>
  <cols>
    <col min="2" max="2" width="21.85546875" bestFit="1" customWidth="1"/>
    <col min="3" max="3" width="18" bestFit="1" customWidth="1"/>
    <col min="4" max="4" width="14.140625" bestFit="1" customWidth="1"/>
    <col min="7" max="7" width="23.85546875" bestFit="1" customWidth="1"/>
    <col min="8" max="8" width="16.42578125" customWidth="1"/>
    <col min="9" max="9" width="15.85546875" customWidth="1"/>
  </cols>
  <sheetData>
    <row r="1" spans="1:11" s="6" customFormat="1">
      <c r="A1" s="7" t="s">
        <v>146</v>
      </c>
      <c r="K1" s="28" t="s">
        <v>25</v>
      </c>
    </row>
    <row r="7" spans="1:11">
      <c r="A7" s="68" t="s">
        <v>58</v>
      </c>
    </row>
    <row r="9" spans="1:11">
      <c r="B9" s="1" t="s">
        <v>131</v>
      </c>
      <c r="C9" s="54">
        <v>45748</v>
      </c>
      <c r="G9" s="1" t="s">
        <v>132</v>
      </c>
      <c r="H9" s="53">
        <f>(C13/C15)*C21</f>
        <v>1011.0982580114879</v>
      </c>
    </row>
    <row r="10" spans="1:11">
      <c r="B10" s="1" t="s">
        <v>133</v>
      </c>
      <c r="C10" s="54">
        <v>51227</v>
      </c>
      <c r="G10" s="1" t="s">
        <v>134</v>
      </c>
      <c r="H10" s="10">
        <f>C14*C22</f>
        <v>555.89272972995957</v>
      </c>
    </row>
    <row r="11" spans="1:11" ht="15.95" thickBot="1">
      <c r="B11" s="1" t="s">
        <v>135</v>
      </c>
      <c r="C11" s="5">
        <v>0.09</v>
      </c>
    </row>
    <row r="12" spans="1:11" ht="18" thickBot="1">
      <c r="B12" s="34" t="s">
        <v>136</v>
      </c>
      <c r="C12" s="35">
        <v>3.9530929865225328E-2</v>
      </c>
      <c r="G12" s="1" t="s">
        <v>147</v>
      </c>
      <c r="H12" s="53">
        <f>H9+H10</f>
        <v>1566.9909877414475</v>
      </c>
      <c r="I12" t="s">
        <v>148</v>
      </c>
    </row>
    <row r="13" spans="1:11">
      <c r="B13" s="1" t="s">
        <v>138</v>
      </c>
      <c r="C13" s="88">
        <f>C11*C14</f>
        <v>90</v>
      </c>
    </row>
    <row r="14" spans="1:11" ht="15.95" thickBot="1">
      <c r="B14" s="1" t="s">
        <v>139</v>
      </c>
      <c r="C14" s="88">
        <v>1000</v>
      </c>
      <c r="G14" s="1"/>
    </row>
    <row r="15" spans="1:11" ht="15.95" thickBot="1">
      <c r="B15" s="1" t="s">
        <v>141</v>
      </c>
      <c r="C15" s="3">
        <v>2</v>
      </c>
      <c r="G15" s="34" t="s">
        <v>136</v>
      </c>
      <c r="H15" s="58">
        <f>YIELD(C9,C10,C11,C18/H16,C14/H16,C15,0)</f>
        <v>7.7471916505524943E-2</v>
      </c>
      <c r="I15" t="str">
        <f ca="1">_xlfn.FORMULATEXT(H15)</f>
        <v>=RENDTO(C9,C10,C11,C18/H16,C14/H16,C15,0)</v>
      </c>
    </row>
    <row r="16" spans="1:11" ht="17.100000000000001">
      <c r="B16" s="1" t="s">
        <v>142</v>
      </c>
      <c r="C16" s="5">
        <f>C12/C15</f>
        <v>1.9765464932612664E-2</v>
      </c>
      <c r="G16" s="1" t="s">
        <v>140</v>
      </c>
      <c r="H16" s="59">
        <f>C14/100</f>
        <v>10</v>
      </c>
    </row>
    <row r="17" spans="2:4">
      <c r="B17" s="1" t="s">
        <v>143</v>
      </c>
      <c r="C17" s="3">
        <v>15</v>
      </c>
    </row>
    <row r="18" spans="2:4" ht="17.100000000000001">
      <c r="B18" s="1" t="s">
        <v>147</v>
      </c>
      <c r="C18" s="88">
        <v>1110</v>
      </c>
      <c r="D18" s="59">
        <f>C14-C18</f>
        <v>-110</v>
      </c>
    </row>
    <row r="19" spans="2:4">
      <c r="B19" s="1"/>
      <c r="C19" s="3"/>
    </row>
    <row r="20" spans="2:4" ht="15.95" thickBot="1"/>
    <row r="21" spans="2:4">
      <c r="B21" s="30" t="s">
        <v>144</v>
      </c>
      <c r="C21" s="56">
        <f>(1-(1+C16)^(-(C17*C15)))/C16</f>
        <v>22.468850178033065</v>
      </c>
      <c r="D21" t="str">
        <f ca="1">_xlfn.FORMULATEXT(C21)</f>
        <v>=(1-(1+C16)^(-(C17*C15)))/C16</v>
      </c>
    </row>
    <row r="22" spans="2:4" ht="15.95" thickBot="1">
      <c r="B22" s="37" t="s">
        <v>145</v>
      </c>
      <c r="C22" s="57">
        <f>(1+C16)^(-C17*C15)</f>
        <v>0.55589272972995962</v>
      </c>
      <c r="D22" t="str">
        <f ca="1">_xlfn.FORMULATEXT(C22)</f>
        <v>=(1+C16)^(-C17*C15)</v>
      </c>
    </row>
  </sheetData>
  <hyperlinks>
    <hyperlink ref="K1" location="Índice!A1" display="Regreso al Índice" xr:uid="{00000000-0004-0000-0D00-000000000000}"/>
  </hyperlink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66"/>
  <sheetViews>
    <sheetView showGridLines="0" zoomScaleNormal="100" workbookViewId="0">
      <selection activeCell="K1" sqref="K1"/>
    </sheetView>
  </sheetViews>
  <sheetFormatPr defaultColWidth="11.42578125" defaultRowHeight="15"/>
  <cols>
    <col min="2" max="2" width="21.85546875" bestFit="1" customWidth="1"/>
    <col min="3" max="3" width="14.140625" bestFit="1" customWidth="1"/>
    <col min="4" max="4" width="14" customWidth="1"/>
    <col min="8" max="8" width="18.28515625" customWidth="1"/>
    <col min="9" max="9" width="13.140625" bestFit="1" customWidth="1"/>
  </cols>
  <sheetData>
    <row r="1" spans="1:11" s="6" customFormat="1">
      <c r="A1" s="7" t="s">
        <v>149</v>
      </c>
      <c r="K1" s="28" t="s">
        <v>25</v>
      </c>
    </row>
    <row r="6" spans="1:11">
      <c r="A6" s="68" t="s">
        <v>58</v>
      </c>
    </row>
    <row r="7" spans="1:11" ht="15.95" thickBot="1"/>
    <row r="8" spans="1:11" ht="18" thickBot="1">
      <c r="B8" s="1" t="s">
        <v>150</v>
      </c>
      <c r="C8" s="55">
        <v>5</v>
      </c>
      <c r="G8" s="34" t="s">
        <v>151</v>
      </c>
      <c r="H8" s="60">
        <f>C8/C9</f>
        <v>27.777777777777779</v>
      </c>
      <c r="I8" t="str">
        <f ca="1">_xlfn.FORMULATEXT(H8)</f>
        <v>=C8/C9</v>
      </c>
    </row>
    <row r="9" spans="1:11">
      <c r="B9" s="1" t="s">
        <v>152</v>
      </c>
      <c r="C9" s="4">
        <v>0.18</v>
      </c>
    </row>
    <row r="14" spans="1:11" s="6" customFormat="1">
      <c r="A14" s="7" t="s">
        <v>153</v>
      </c>
      <c r="K14" s="28" t="s">
        <v>25</v>
      </c>
    </row>
    <row r="19" spans="1:11">
      <c r="A19" s="68" t="s">
        <v>58</v>
      </c>
    </row>
    <row r="20" spans="1:11" ht="15.95" thickBot="1"/>
    <row r="21" spans="1:11" ht="17.100000000000001">
      <c r="B21" s="1" t="s">
        <v>150</v>
      </c>
      <c r="C21" s="55">
        <v>1.95</v>
      </c>
      <c r="G21" s="30" t="s">
        <v>151</v>
      </c>
      <c r="H21" s="73">
        <f>(C21*(1+C23))/(C22-C23)</f>
        <v>31.2</v>
      </c>
      <c r="I21" t="str">
        <f ca="1">_xlfn.FORMULATEXT(H21)</f>
        <v>=(C21*(1+C23))/(C22-C23)</v>
      </c>
    </row>
    <row r="22" spans="1:11" ht="18" thickBot="1">
      <c r="B22" s="1" t="s">
        <v>152</v>
      </c>
      <c r="C22" s="4">
        <v>0.105</v>
      </c>
      <c r="G22" s="37" t="s">
        <v>154</v>
      </c>
      <c r="H22" s="74">
        <f>H21*((1+C23)^C24)</f>
        <v>56.189437371815799</v>
      </c>
      <c r="I22" t="str">
        <f ca="1">_xlfn.FORMULATEXT(H22)</f>
        <v>=H21*((1+C23)^C24)</v>
      </c>
    </row>
    <row r="23" spans="1:11">
      <c r="B23" s="1" t="s">
        <v>155</v>
      </c>
      <c r="C23" s="4">
        <v>0.04</v>
      </c>
    </row>
    <row r="24" spans="1:11">
      <c r="B24" s="1" t="s">
        <v>156</v>
      </c>
      <c r="C24">
        <v>15</v>
      </c>
    </row>
    <row r="26" spans="1:11" s="6" customFormat="1">
      <c r="A26" s="7" t="s">
        <v>157</v>
      </c>
      <c r="K26" s="28" t="s">
        <v>25</v>
      </c>
    </row>
    <row r="32" spans="1:11">
      <c r="A32" s="68" t="s">
        <v>58</v>
      </c>
    </row>
    <row r="33" spans="1:9" ht="15.95" thickBot="1"/>
    <row r="34" spans="1:9" ht="18" thickBot="1">
      <c r="B34" s="1" t="s">
        <v>150</v>
      </c>
      <c r="C34" s="55">
        <v>3.15</v>
      </c>
      <c r="G34" s="34" t="s">
        <v>151</v>
      </c>
      <c r="H34" s="60">
        <f>H37+D50</f>
        <v>54.500150726065414</v>
      </c>
      <c r="I34" t="str">
        <f ca="1">_xlfn.FORMULATEXT(H34)</f>
        <v>=H37+D50</v>
      </c>
    </row>
    <row r="35" spans="1:9" ht="17.100000000000001">
      <c r="B35" s="1" t="s">
        <v>152</v>
      </c>
      <c r="C35" s="5">
        <v>0.12863368239450623</v>
      </c>
      <c r="G35" s="1" t="s">
        <v>158</v>
      </c>
      <c r="H35" s="59">
        <f>C43</f>
        <v>5.0207850000000001</v>
      </c>
      <c r="I35" t="str">
        <f ca="1">_xlfn.FORMULATEXT(H35)</f>
        <v>=C43</v>
      </c>
    </row>
    <row r="36" spans="1:9" ht="17.100000000000001">
      <c r="B36" s="1" t="s">
        <v>159</v>
      </c>
      <c r="C36" s="4">
        <v>0.05</v>
      </c>
      <c r="G36" s="1" t="s">
        <v>154</v>
      </c>
      <c r="H36" s="55">
        <f>(H35*(1+C36))/(C35-C36)</f>
        <v>67.04282553564245</v>
      </c>
      <c r="I36" t="str">
        <f ca="1">_xlfn.FORMULATEXT(H36)</f>
        <v>=(H35*(1+C36))/(C35-C36)</v>
      </c>
    </row>
    <row r="37" spans="1:9" ht="17.100000000000001">
      <c r="B37" s="1" t="s">
        <v>156</v>
      </c>
      <c r="C37">
        <v>4</v>
      </c>
      <c r="G37" s="1" t="s">
        <v>160</v>
      </c>
      <c r="H37" s="59">
        <f>H36/(1+C35)^C37</f>
        <v>41.318094200222106</v>
      </c>
      <c r="I37" t="str">
        <f ca="1">_xlfn.FORMULATEXT(H37)</f>
        <v>=H36/(1+C35)^C37</v>
      </c>
    </row>
    <row r="38" spans="1:9">
      <c r="B38" s="1"/>
    </row>
    <row r="39" spans="1:9" ht="17.100000000000001">
      <c r="B39" s="99" t="s">
        <v>161</v>
      </c>
      <c r="C39" s="99"/>
      <c r="D39" s="27" t="s">
        <v>162</v>
      </c>
    </row>
    <row r="40" spans="1:9" ht="17.100000000000001">
      <c r="A40">
        <v>1</v>
      </c>
      <c r="B40" s="1" t="s">
        <v>163</v>
      </c>
      <c r="C40" s="59">
        <f>C34*1.2</f>
        <v>3.78</v>
      </c>
      <c r="D40" s="3">
        <f>C40*(1+$C$35)^(-A40)</f>
        <v>3.3491823422993736</v>
      </c>
    </row>
    <row r="41" spans="1:9" ht="17.100000000000001">
      <c r="A41">
        <v>2</v>
      </c>
      <c r="B41" s="1" t="s">
        <v>164</v>
      </c>
      <c r="C41" s="59">
        <f>C40*1.15</f>
        <v>4.3469999999999995</v>
      </c>
      <c r="D41" s="3">
        <f t="shared" ref="D41:D43" si="0">C41*(1+$C$35)^(-A41)</f>
        <v>3.4125861683241818</v>
      </c>
    </row>
    <row r="42" spans="1:9" ht="17.100000000000001">
      <c r="A42">
        <v>3</v>
      </c>
      <c r="B42" s="1" t="s">
        <v>165</v>
      </c>
      <c r="C42" s="59">
        <f>C41*1.1</f>
        <v>4.7816999999999998</v>
      </c>
      <c r="D42" s="3">
        <f t="shared" si="0"/>
        <v>3.326008113803987</v>
      </c>
    </row>
    <row r="43" spans="1:9" ht="17.100000000000001">
      <c r="A43">
        <v>4</v>
      </c>
      <c r="B43" s="1" t="s">
        <v>166</v>
      </c>
      <c r="C43" s="59">
        <f>C42*1.05</f>
        <v>5.0207850000000001</v>
      </c>
      <c r="D43" s="3">
        <f t="shared" si="0"/>
        <v>3.0942799014157663</v>
      </c>
    </row>
    <row r="44" spans="1:9" ht="17.100000000000001">
      <c r="A44">
        <v>5</v>
      </c>
      <c r="B44" s="1" t="s">
        <v>167</v>
      </c>
    </row>
    <row r="45" spans="1:9" ht="17.100000000000001">
      <c r="A45">
        <v>6</v>
      </c>
      <c r="B45" s="1" t="s">
        <v>168</v>
      </c>
    </row>
    <row r="46" spans="1:9" ht="17.100000000000001">
      <c r="A46">
        <v>7</v>
      </c>
      <c r="B46" s="1" t="s">
        <v>169</v>
      </c>
    </row>
    <row r="47" spans="1:9" ht="17.100000000000001">
      <c r="A47">
        <v>8</v>
      </c>
      <c r="B47" s="1" t="s">
        <v>170</v>
      </c>
    </row>
    <row r="48" spans="1:9" ht="17.100000000000001">
      <c r="A48">
        <v>9</v>
      </c>
      <c r="B48" s="1" t="s">
        <v>171</v>
      </c>
    </row>
    <row r="49" spans="1:11" ht="17.100000000000001">
      <c r="A49">
        <v>10</v>
      </c>
      <c r="B49" s="1" t="s">
        <v>172</v>
      </c>
    </row>
    <row r="50" spans="1:11" ht="17.100000000000001">
      <c r="C50" s="27" t="s">
        <v>173</v>
      </c>
      <c r="D50" s="10">
        <f>SUM(D40:D49)</f>
        <v>13.182056525843308</v>
      </c>
    </row>
    <row r="54" spans="1:11" s="6" customFormat="1" ht="17.100000000000001">
      <c r="A54" s="7" t="s">
        <v>174</v>
      </c>
      <c r="K54" s="28" t="s">
        <v>25</v>
      </c>
    </row>
    <row r="55" spans="1:11" ht="15.95" thickBot="1"/>
    <row r="56" spans="1:11" ht="17.100000000000001">
      <c r="H56" s="30" t="s">
        <v>151</v>
      </c>
      <c r="I56" s="73">
        <f>(C61*(1+C63))/(C62-C63)*(1-((1+C63)/(1+C62))^C65)+(I57/((1+C62)^C65))</f>
        <v>69.55174295098999</v>
      </c>
      <c r="J56" t="str">
        <f ca="1">_xlfn.FORMULATEXT(I56)</f>
        <v>=(C61*(1+C63))/(C62-C63)*(1-((1+C63)/(1+C62))^C65)+(I57/((1+C62)^C65))</v>
      </c>
    </row>
    <row r="57" spans="1:11" ht="18" thickBot="1">
      <c r="H57" s="37" t="s">
        <v>154</v>
      </c>
      <c r="I57" s="74">
        <f>(C61*((1+C63)^C65)*(1+C64))/(C62-C64)</f>
        <v>136.39473157179216</v>
      </c>
      <c r="J57" t="str">
        <f ca="1">_xlfn.FORMULATEXT(I57)</f>
        <v>=(C61*((1+C63)^C65)*(1+C64))/(C62-C64)</v>
      </c>
    </row>
    <row r="61" spans="1:11" ht="17.100000000000001">
      <c r="B61" s="1" t="s">
        <v>150</v>
      </c>
      <c r="C61" s="55">
        <v>1.25</v>
      </c>
    </row>
    <row r="62" spans="1:11">
      <c r="B62" s="1" t="s">
        <v>152</v>
      </c>
      <c r="C62" s="5">
        <v>0.13</v>
      </c>
    </row>
    <row r="63" spans="1:11" ht="17.100000000000001">
      <c r="B63" s="1" t="s">
        <v>175</v>
      </c>
      <c r="C63" s="5">
        <v>0.28000000000000003</v>
      </c>
    </row>
    <row r="64" spans="1:11" ht="17.100000000000001">
      <c r="B64" s="1" t="s">
        <v>176</v>
      </c>
      <c r="C64" s="5">
        <v>0.06</v>
      </c>
    </row>
    <row r="65" spans="2:3">
      <c r="B65" s="1" t="s">
        <v>156</v>
      </c>
      <c r="C65">
        <v>8</v>
      </c>
    </row>
    <row r="66" spans="2:3">
      <c r="B66" s="1"/>
      <c r="C66" s="2"/>
    </row>
  </sheetData>
  <mergeCells count="1">
    <mergeCell ref="B39:C39"/>
  </mergeCells>
  <hyperlinks>
    <hyperlink ref="K1" location="Índice!A1" display="Regreso al Índice" xr:uid="{00000000-0004-0000-0E00-000000000000}"/>
    <hyperlink ref="K14" location="Índice!A1" display="Regreso al Índice" xr:uid="{00000000-0004-0000-0E00-000001000000}"/>
    <hyperlink ref="K26" location="Índice!A1" display="Regreso al Índice" xr:uid="{00000000-0004-0000-0E00-000002000000}"/>
    <hyperlink ref="K54" location="Índice!A1" display="Regreso al Índice" xr:uid="{00000000-0004-0000-0E00-000003000000}"/>
  </hyperlink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30"/>
  <sheetViews>
    <sheetView showGridLines="0" zoomScaleNormal="100" workbookViewId="0">
      <selection activeCell="G7" sqref="G7"/>
    </sheetView>
  </sheetViews>
  <sheetFormatPr defaultColWidth="9.140625" defaultRowHeight="15"/>
  <cols>
    <col min="3" max="3" width="14" bestFit="1" customWidth="1"/>
  </cols>
  <sheetData>
    <row r="1" spans="1:11" s="6" customFormat="1">
      <c r="A1" s="7" t="s">
        <v>177</v>
      </c>
      <c r="K1" s="28" t="s">
        <v>25</v>
      </c>
    </row>
    <row r="5" spans="1:11">
      <c r="A5" s="68" t="s">
        <v>58</v>
      </c>
    </row>
    <row r="6" spans="1:11" ht="15.95" thickBot="1"/>
    <row r="7" spans="1:11" ht="18" thickBot="1">
      <c r="B7" s="1" t="s">
        <v>178</v>
      </c>
      <c r="C7">
        <v>18</v>
      </c>
      <c r="G7" s="34" t="s">
        <v>151</v>
      </c>
      <c r="H7" s="60">
        <f>C7*C8</f>
        <v>42.300000000000004</v>
      </c>
      <c r="I7" t="str">
        <f ca="1">_xlfn.FORMULATEXT(H7)</f>
        <v>=C7*C8</v>
      </c>
    </row>
    <row r="8" spans="1:11" ht="17.100000000000001">
      <c r="B8" s="1" t="s">
        <v>179</v>
      </c>
      <c r="C8" s="10">
        <v>2.35</v>
      </c>
    </row>
    <row r="10" spans="1:11">
      <c r="B10" s="1" t="s">
        <v>180</v>
      </c>
      <c r="C10" s="3"/>
    </row>
    <row r="11" spans="1:11">
      <c r="B11" s="1" t="s">
        <v>181</v>
      </c>
      <c r="C11" s="18"/>
    </row>
    <row r="22" spans="1:11" s="6" customFormat="1">
      <c r="A22" s="7" t="s">
        <v>182</v>
      </c>
      <c r="K22" s="28" t="s">
        <v>25</v>
      </c>
    </row>
    <row r="25" spans="1:11" ht="15.95" thickBot="1"/>
    <row r="26" spans="1:11" ht="18" thickBot="1">
      <c r="B26" s="1" t="s">
        <v>183</v>
      </c>
      <c r="C26">
        <v>4.3</v>
      </c>
      <c r="G26" s="34" t="s">
        <v>151</v>
      </c>
      <c r="H26" s="60">
        <f>C26*C27</f>
        <v>89.307692307692307</v>
      </c>
      <c r="I26" t="str">
        <f ca="1">_xlfn.FORMULATEXT(H26)</f>
        <v>=C26*C27</v>
      </c>
    </row>
    <row r="27" spans="1:11" ht="17.100000000000001">
      <c r="B27" s="1" t="s">
        <v>184</v>
      </c>
      <c r="C27" s="10">
        <f>C29/C30</f>
        <v>20.76923076923077</v>
      </c>
    </row>
    <row r="29" spans="1:11">
      <c r="B29" s="1" t="s">
        <v>185</v>
      </c>
      <c r="C29" s="3">
        <v>2700000</v>
      </c>
    </row>
    <row r="30" spans="1:11">
      <c r="B30" s="1" t="s">
        <v>181</v>
      </c>
      <c r="C30" s="18">
        <v>130000</v>
      </c>
    </row>
  </sheetData>
  <hyperlinks>
    <hyperlink ref="K1" location="Índice!A1" display="Regreso al Índice" xr:uid="{00000000-0004-0000-0F00-000000000000}"/>
    <hyperlink ref="K22" location="Índice!A1" display="Regreso al Índice" xr:uid="{00000000-0004-0000-0F00-000001000000}"/>
  </hyperlink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0"/>
  <sheetViews>
    <sheetView showGridLines="0" workbookViewId="0">
      <selection sqref="A1:XFD1"/>
    </sheetView>
  </sheetViews>
  <sheetFormatPr defaultColWidth="9.140625" defaultRowHeight="15"/>
  <sheetData>
    <row r="1" spans="1:11" s="6" customFormat="1">
      <c r="A1" s="7" t="s">
        <v>186</v>
      </c>
      <c r="K1" s="28" t="s">
        <v>25</v>
      </c>
    </row>
    <row r="6" spans="1:11">
      <c r="A6" s="68" t="s">
        <v>58</v>
      </c>
    </row>
    <row r="7" spans="1:11" ht="15.95" thickBot="1"/>
    <row r="8" spans="1:11" ht="18" thickBot="1">
      <c r="B8" s="1" t="s">
        <v>150</v>
      </c>
      <c r="C8" s="55">
        <v>2.1</v>
      </c>
      <c r="G8" s="34" t="s">
        <v>84</v>
      </c>
      <c r="H8" s="58">
        <f>((C8*(1+C9))/C10)+C9</f>
        <v>9.5937500000000009E-2</v>
      </c>
      <c r="I8" t="str">
        <f ca="1">_xlfn.FORMULATEXT(H8)</f>
        <v>=((C8*(1+C9))/C10)+C9</v>
      </c>
    </row>
    <row r="9" spans="1:11">
      <c r="B9" s="1" t="s">
        <v>155</v>
      </c>
      <c r="C9" s="4">
        <v>0.05</v>
      </c>
    </row>
    <row r="10" spans="1:11" ht="17.100000000000001">
      <c r="B10" s="1" t="s">
        <v>187</v>
      </c>
      <c r="C10" s="55">
        <v>48</v>
      </c>
    </row>
  </sheetData>
  <hyperlinks>
    <hyperlink ref="K1" location="Índice!A1" display="Regreso al Índice" xr:uid="{00000000-0004-0000-1000-000000000000}"/>
  </hyperlink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09B1A-CB9F-4B50-A891-C78C07BCE05C}">
  <dimension ref="A1:P79"/>
  <sheetViews>
    <sheetView showGridLines="0" workbookViewId="0">
      <selection activeCell="P1" sqref="P1"/>
    </sheetView>
  </sheetViews>
  <sheetFormatPr defaultColWidth="9.140625" defaultRowHeight="15"/>
  <sheetData>
    <row r="1" spans="1:16" s="6" customFormat="1">
      <c r="A1" s="7" t="s">
        <v>188</v>
      </c>
      <c r="K1" s="28"/>
      <c r="P1" s="28" t="s">
        <v>25</v>
      </c>
    </row>
    <row r="2" spans="1:16">
      <c r="H2" s="6"/>
    </row>
    <row r="3" spans="1:16">
      <c r="H3" s="6"/>
    </row>
    <row r="4" spans="1:16">
      <c r="H4" s="6"/>
    </row>
    <row r="5" spans="1:16">
      <c r="H5" s="6"/>
    </row>
    <row r="6" spans="1:16">
      <c r="A6" s="68" t="s">
        <v>58</v>
      </c>
      <c r="H6" s="6"/>
      <c r="I6" s="68" t="s">
        <v>58</v>
      </c>
    </row>
    <row r="7" spans="1:16">
      <c r="H7" s="6"/>
    </row>
    <row r="8" spans="1:16" ht="17.100000000000001">
      <c r="B8" s="1" t="s">
        <v>189</v>
      </c>
      <c r="E8" s="91" t="s">
        <v>190</v>
      </c>
      <c r="F8" s="90">
        <f>C8*(1+C9)^C10</f>
        <v>0</v>
      </c>
      <c r="H8" s="6"/>
      <c r="J8" s="1" t="s">
        <v>189</v>
      </c>
      <c r="M8" s="91" t="s">
        <v>190</v>
      </c>
      <c r="N8" s="90">
        <f>K8*EXP(K9*K10)</f>
        <v>0</v>
      </c>
    </row>
    <row r="9" spans="1:16">
      <c r="B9" s="1" t="s">
        <v>191</v>
      </c>
      <c r="H9" s="6"/>
      <c r="J9" s="92" t="s">
        <v>192</v>
      </c>
    </row>
    <row r="10" spans="1:16">
      <c r="B10" s="1" t="s">
        <v>143</v>
      </c>
      <c r="H10" s="6"/>
      <c r="J10" s="1" t="s">
        <v>143</v>
      </c>
    </row>
    <row r="11" spans="1:16">
      <c r="H11" s="6"/>
    </row>
    <row r="12" spans="1:16">
      <c r="H12" s="6"/>
    </row>
    <row r="13" spans="1:16" s="6" customFormat="1">
      <c r="A13" s="7" t="s">
        <v>193</v>
      </c>
      <c r="K13" s="28"/>
      <c r="P13" s="28" t="s">
        <v>25</v>
      </c>
    </row>
    <row r="14" spans="1:16">
      <c r="H14" s="6"/>
    </row>
    <row r="15" spans="1:16">
      <c r="H15" s="6"/>
    </row>
    <row r="16" spans="1:16">
      <c r="H16" s="6"/>
    </row>
    <row r="17" spans="1:16">
      <c r="H17" s="6"/>
    </row>
    <row r="18" spans="1:16">
      <c r="H18" s="6"/>
    </row>
    <row r="19" spans="1:16">
      <c r="A19" s="68" t="s">
        <v>58</v>
      </c>
      <c r="H19" s="6"/>
      <c r="I19" s="68" t="s">
        <v>58</v>
      </c>
    </row>
    <row r="20" spans="1:16">
      <c r="H20" s="6"/>
    </row>
    <row r="21" spans="1:16" ht="17.100000000000001">
      <c r="B21" s="1" t="s">
        <v>189</v>
      </c>
      <c r="C21">
        <v>50</v>
      </c>
      <c r="E21" s="91" t="s">
        <v>190</v>
      </c>
      <c r="F21" s="90">
        <f>(C21-C22)*(1+C23)^C24</f>
        <v>49.779422073455329</v>
      </c>
      <c r="H21" s="6"/>
      <c r="J21" s="1" t="s">
        <v>189</v>
      </c>
      <c r="K21">
        <v>48</v>
      </c>
      <c r="M21" s="91" t="s">
        <v>190</v>
      </c>
      <c r="N21" s="90">
        <f>(K21-K22)*(1+K23)^K24</f>
        <v>46.920625437107077</v>
      </c>
    </row>
    <row r="22" spans="1:16">
      <c r="B22" s="1" t="s">
        <v>194</v>
      </c>
      <c r="C22">
        <f>2*EXP(-2/12*C23)+2*EXP(-5/12*C23)</f>
        <v>3.9079425245784032</v>
      </c>
      <c r="E22" s="1"/>
      <c r="H22" s="6"/>
      <c r="J22" s="1" t="s">
        <v>194</v>
      </c>
      <c r="K22">
        <f>2*EXP(-2/12*K23)</f>
        <v>1.9735103236143914</v>
      </c>
      <c r="M22" s="1"/>
    </row>
    <row r="23" spans="1:16">
      <c r="B23" s="1" t="s">
        <v>191</v>
      </c>
      <c r="C23" s="2">
        <v>0.08</v>
      </c>
      <c r="H23" s="6"/>
      <c r="J23" s="92" t="s">
        <v>192</v>
      </c>
      <c r="K23" s="2">
        <v>0.08</v>
      </c>
    </row>
    <row r="24" spans="1:16">
      <c r="B24" s="1" t="s">
        <v>143</v>
      </c>
      <c r="C24">
        <v>1</v>
      </c>
      <c r="H24" s="6"/>
      <c r="J24" s="1" t="s">
        <v>143</v>
      </c>
      <c r="K24">
        <f>3/12</f>
        <v>0.25</v>
      </c>
    </row>
    <row r="25" spans="1:16">
      <c r="H25" s="6"/>
    </row>
    <row r="26" spans="1:16">
      <c r="H26" s="6"/>
    </row>
    <row r="27" spans="1:16" s="6" customFormat="1">
      <c r="A27" s="7" t="s">
        <v>195</v>
      </c>
      <c r="K27" s="28"/>
      <c r="P27" s="28" t="s">
        <v>25</v>
      </c>
    </row>
    <row r="28" spans="1:16">
      <c r="H28" s="6"/>
    </row>
    <row r="29" spans="1:16">
      <c r="H29" s="6"/>
    </row>
    <row r="30" spans="1:16">
      <c r="H30" s="6"/>
    </row>
    <row r="31" spans="1:16">
      <c r="H31" s="6"/>
    </row>
    <row r="32" spans="1:16">
      <c r="H32" s="6"/>
    </row>
    <row r="33" spans="1:16">
      <c r="A33" s="68" t="s">
        <v>58</v>
      </c>
      <c r="H33" s="6"/>
      <c r="I33" s="68" t="s">
        <v>58</v>
      </c>
    </row>
    <row r="34" spans="1:16">
      <c r="H34" s="6"/>
    </row>
    <row r="35" spans="1:16" ht="17.100000000000001">
      <c r="B35" s="1" t="s">
        <v>189</v>
      </c>
      <c r="E35" s="91" t="s">
        <v>190</v>
      </c>
      <c r="F35" s="90">
        <f>C35*(((1+C36)^C38)/((1+C37)^C38))</f>
        <v>0</v>
      </c>
      <c r="H35" s="6"/>
      <c r="J35" s="1" t="s">
        <v>189</v>
      </c>
      <c r="M35" s="91" t="s">
        <v>190</v>
      </c>
      <c r="N35" s="90">
        <f>K35*EXP((K36-K37)*K38)</f>
        <v>0</v>
      </c>
    </row>
    <row r="36" spans="1:16">
      <c r="B36" s="1" t="s">
        <v>191</v>
      </c>
      <c r="E36" s="1"/>
      <c r="H36" s="6"/>
      <c r="J36" s="1" t="s">
        <v>191</v>
      </c>
      <c r="M36" s="1"/>
    </row>
    <row r="37" spans="1:16">
      <c r="B37" s="1" t="s">
        <v>123</v>
      </c>
      <c r="H37" s="6"/>
      <c r="J37" s="92" t="s">
        <v>123</v>
      </c>
    </row>
    <row r="38" spans="1:16">
      <c r="B38" s="1" t="s">
        <v>143</v>
      </c>
      <c r="H38" s="6"/>
      <c r="J38" s="1" t="s">
        <v>143</v>
      </c>
    </row>
    <row r="39" spans="1:16">
      <c r="H39" s="6"/>
    </row>
    <row r="40" spans="1:16">
      <c r="H40" s="6"/>
    </row>
    <row r="41" spans="1:16" s="6" customFormat="1">
      <c r="A41" s="7" t="s">
        <v>196</v>
      </c>
      <c r="K41" s="28"/>
      <c r="P41" s="28" t="s">
        <v>25</v>
      </c>
    </row>
    <row r="42" spans="1:16">
      <c r="H42" s="6"/>
    </row>
    <row r="43" spans="1:16">
      <c r="H43" s="6"/>
    </row>
    <row r="44" spans="1:16">
      <c r="H44" s="6"/>
    </row>
    <row r="45" spans="1:16">
      <c r="H45" s="6"/>
    </row>
    <row r="46" spans="1:16">
      <c r="H46" s="6"/>
    </row>
    <row r="47" spans="1:16">
      <c r="A47" s="68" t="s">
        <v>58</v>
      </c>
      <c r="H47" s="6"/>
      <c r="I47" s="68" t="s">
        <v>58</v>
      </c>
    </row>
    <row r="48" spans="1:16">
      <c r="H48" s="6"/>
    </row>
    <row r="49" spans="1:16" ht="17.100000000000001">
      <c r="B49" s="1" t="s">
        <v>189</v>
      </c>
      <c r="E49" s="91" t="s">
        <v>190</v>
      </c>
      <c r="F49" s="90">
        <f>C49*(((1+C50)^C52)/((1+C51)^C52))</f>
        <v>0</v>
      </c>
      <c r="H49" s="6"/>
      <c r="J49" s="1" t="s">
        <v>189</v>
      </c>
      <c r="M49" s="91" t="s">
        <v>190</v>
      </c>
      <c r="N49" s="90">
        <f>K49*EXP((K50-K51)*K52)</f>
        <v>0</v>
      </c>
    </row>
    <row r="50" spans="1:16">
      <c r="B50" s="1" t="s">
        <v>191</v>
      </c>
      <c r="E50" s="1"/>
      <c r="H50" s="6"/>
      <c r="J50" s="1" t="s">
        <v>191</v>
      </c>
      <c r="M50" s="1"/>
    </row>
    <row r="51" spans="1:16" ht="17.100000000000001">
      <c r="B51" s="1" t="s">
        <v>197</v>
      </c>
      <c r="H51" s="6"/>
      <c r="J51" s="1" t="s">
        <v>197</v>
      </c>
    </row>
    <row r="52" spans="1:16">
      <c r="B52" s="1" t="s">
        <v>143</v>
      </c>
      <c r="H52" s="6"/>
      <c r="J52" s="1" t="s">
        <v>143</v>
      </c>
    </row>
    <row r="53" spans="1:16">
      <c r="H53" s="6"/>
    </row>
    <row r="54" spans="1:16">
      <c r="H54" s="6"/>
    </row>
    <row r="55" spans="1:16" s="6" customFormat="1">
      <c r="A55" s="7" t="s">
        <v>198</v>
      </c>
      <c r="K55" s="28"/>
      <c r="P55" s="28" t="s">
        <v>25</v>
      </c>
    </row>
    <row r="56" spans="1:16">
      <c r="H56" s="6"/>
    </row>
    <row r="57" spans="1:16">
      <c r="H57" s="6"/>
    </row>
    <row r="58" spans="1:16">
      <c r="H58" s="6"/>
    </row>
    <row r="59" spans="1:16">
      <c r="H59" s="6"/>
    </row>
    <row r="60" spans="1:16">
      <c r="A60" s="68" t="s">
        <v>58</v>
      </c>
      <c r="H60" s="6"/>
      <c r="I60" s="68" t="s">
        <v>58</v>
      </c>
    </row>
    <row r="61" spans="1:16">
      <c r="H61" s="6"/>
    </row>
    <row r="62" spans="1:16" ht="17.100000000000001">
      <c r="B62" s="1" t="s">
        <v>189</v>
      </c>
      <c r="E62" s="91" t="s">
        <v>190</v>
      </c>
      <c r="F62" s="90">
        <f>(C62+C63)*(1+C64)^C65</f>
        <v>0</v>
      </c>
      <c r="H62" s="6"/>
      <c r="J62" s="1" t="s">
        <v>189</v>
      </c>
      <c r="M62" s="91" t="s">
        <v>190</v>
      </c>
      <c r="N62" s="90">
        <f>(K62+K63)*(1+K64)^K65</f>
        <v>0</v>
      </c>
    </row>
    <row r="63" spans="1:16">
      <c r="B63" s="1" t="s">
        <v>199</v>
      </c>
      <c r="E63" s="1"/>
      <c r="H63" s="6"/>
      <c r="J63" s="1" t="s">
        <v>194</v>
      </c>
      <c r="M63" s="1"/>
    </row>
    <row r="64" spans="1:16">
      <c r="B64" s="1" t="s">
        <v>191</v>
      </c>
      <c r="H64" s="6"/>
      <c r="J64" s="92" t="s">
        <v>192</v>
      </c>
    </row>
    <row r="65" spans="1:16">
      <c r="B65" s="1" t="s">
        <v>143</v>
      </c>
      <c r="H65" s="6"/>
      <c r="J65" s="1" t="s">
        <v>143</v>
      </c>
    </row>
    <row r="66" spans="1:16">
      <c r="H66" s="6"/>
    </row>
    <row r="67" spans="1:16" s="6" customFormat="1">
      <c r="A67" s="7" t="s">
        <v>200</v>
      </c>
      <c r="K67" s="28"/>
      <c r="P67" s="28" t="s">
        <v>25</v>
      </c>
    </row>
    <row r="68" spans="1:16">
      <c r="H68" s="6"/>
    </row>
    <row r="69" spans="1:16">
      <c r="A69" s="68" t="s">
        <v>201</v>
      </c>
      <c r="H69" s="6"/>
      <c r="I69" s="68" t="s">
        <v>202</v>
      </c>
    </row>
    <row r="70" spans="1:16">
      <c r="H70" s="6"/>
    </row>
    <row r="71" spans="1:16">
      <c r="H71" s="6"/>
    </row>
    <row r="72" spans="1:16">
      <c r="A72" s="68" t="s">
        <v>58</v>
      </c>
      <c r="H72" s="6"/>
      <c r="I72" s="68" t="s">
        <v>58</v>
      </c>
    </row>
    <row r="73" spans="1:16">
      <c r="H73" s="6"/>
    </row>
    <row r="74" spans="1:16" ht="17.100000000000001">
      <c r="B74" s="1" t="s">
        <v>190</v>
      </c>
      <c r="E74" s="91" t="s">
        <v>190</v>
      </c>
      <c r="F74" s="90">
        <f>(C74-C75)*EXP(-C76*C77)</f>
        <v>0</v>
      </c>
      <c r="H74" s="6"/>
      <c r="J74" s="1" t="s">
        <v>190</v>
      </c>
      <c r="M74" s="91" t="s">
        <v>190</v>
      </c>
      <c r="N74" s="90">
        <f>(K75-K74)*EXP(-K76*K77)</f>
        <v>0</v>
      </c>
    </row>
    <row r="75" spans="1:16">
      <c r="B75" s="1" t="s">
        <v>203</v>
      </c>
      <c r="E75" s="1"/>
      <c r="H75" s="6"/>
      <c r="J75" s="1" t="s">
        <v>203</v>
      </c>
      <c r="M75" s="1"/>
    </row>
    <row r="76" spans="1:16">
      <c r="B76" s="1" t="s">
        <v>191</v>
      </c>
      <c r="H76" s="6"/>
      <c r="J76" s="1" t="s">
        <v>191</v>
      </c>
    </row>
    <row r="77" spans="1:16">
      <c r="B77" s="1" t="s">
        <v>143</v>
      </c>
      <c r="H77" s="6"/>
      <c r="J77" s="1" t="s">
        <v>143</v>
      </c>
    </row>
    <row r="78" spans="1:16">
      <c r="H78" s="6"/>
    </row>
    <row r="79" spans="1:16" s="6" customFormat="1"/>
  </sheetData>
  <hyperlinks>
    <hyperlink ref="P1" location="Índice!A1" display="Regreso al Índice" xr:uid="{C33E345F-22B1-456A-8428-79A85F1EBEEE}"/>
    <hyperlink ref="P13" location="Índice!A1" display="Regreso al Índice" xr:uid="{0DE4BDE5-A144-4959-8140-2E8055BC5DEF}"/>
    <hyperlink ref="P27" location="Índice!A1" display="Regreso al Índice" xr:uid="{410E6709-AA86-426A-96B3-C58202C0C902}"/>
    <hyperlink ref="P41" location="Índice!A1" display="Regreso al Índice" xr:uid="{A432AB4F-7290-42A2-9FF8-8DB49109510E}"/>
    <hyperlink ref="P55" location="Índice!A1" display="Regreso al Índice" xr:uid="{7FFA901E-58A4-4027-8E2A-564E7C19FFFF}"/>
    <hyperlink ref="P67" location="Índice!A1" display="Regreso al Índice" xr:uid="{C6B3184E-F67C-4352-948F-AFA52F1C931C}"/>
  </hyperlink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75C6C-0B89-4B0E-98A9-A71A97CE8EE3}">
  <dimension ref="A1:P102"/>
  <sheetViews>
    <sheetView showGridLines="0" tabSelected="1" workbookViewId="0">
      <selection activeCell="C19" sqref="C19"/>
    </sheetView>
  </sheetViews>
  <sheetFormatPr defaultColWidth="9.140625" defaultRowHeight="15"/>
  <cols>
    <col min="7" max="7" width="14.7109375" customWidth="1"/>
  </cols>
  <sheetData>
    <row r="1" spans="1:16" s="6" customFormat="1">
      <c r="A1" s="7" t="s">
        <v>204</v>
      </c>
      <c r="K1" s="28"/>
      <c r="P1" s="28" t="s">
        <v>25</v>
      </c>
    </row>
    <row r="13" spans="1:16" ht="17.100000000000001">
      <c r="B13" s="1" t="s">
        <v>205</v>
      </c>
      <c r="C13" s="3">
        <v>34.97</v>
      </c>
      <c r="G13" s="91" t="s">
        <v>206</v>
      </c>
      <c r="H13" s="94">
        <f>C13*C21-C14*(EXP(-C15*C16))*C22</f>
        <v>2.3592414524276144</v>
      </c>
      <c r="J13" s="91" t="s">
        <v>35</v>
      </c>
      <c r="K13" s="94">
        <f>C14*(EXP(-C15*C16))*C24-C13*C23</f>
        <v>5.7063267896671821E-2</v>
      </c>
      <c r="N13" t="s">
        <v>207</v>
      </c>
    </row>
    <row r="14" spans="1:16">
      <c r="B14" s="1" t="s">
        <v>203</v>
      </c>
      <c r="C14" s="3">
        <v>34.97</v>
      </c>
    </row>
    <row r="15" spans="1:16">
      <c r="B15" s="1" t="s">
        <v>191</v>
      </c>
      <c r="C15" s="96">
        <v>6.8099999999999994E-2</v>
      </c>
    </row>
    <row r="16" spans="1:16">
      <c r="B16" s="1" t="s">
        <v>143</v>
      </c>
      <c r="C16" s="98">
        <v>1</v>
      </c>
      <c r="D16" t="s">
        <v>208</v>
      </c>
    </row>
    <row r="17" spans="1:16">
      <c r="B17" s="92" t="s">
        <v>209</v>
      </c>
      <c r="C17" s="98">
        <v>4.8000000000000001E-2</v>
      </c>
    </row>
    <row r="19" spans="1:16" ht="17.100000000000001">
      <c r="B19" s="1" t="s">
        <v>210</v>
      </c>
      <c r="C19" s="93">
        <f>(LN(C13/C14)+(C15+(C17^2)/2)*C16)/(C17*SQRT(C16))</f>
        <v>1.4427499999999998</v>
      </c>
      <c r="D19" t="str">
        <f ca="1">_xlfn.FORMULATEXT(C19)</f>
        <v>=(LN(C13/C14)+(C15+(C17^2)/2)*C16)/(C17*RAIZ(C16))</v>
      </c>
    </row>
    <row r="20" spans="1:16" ht="17.100000000000001">
      <c r="B20" s="1" t="s">
        <v>211</v>
      </c>
      <c r="C20" s="93">
        <f>C19-C17*SQRT(C16)</f>
        <v>1.3947499999999997</v>
      </c>
      <c r="D20" t="str">
        <f t="shared" ref="D20:D24" ca="1" si="0">_xlfn.FORMULATEXT(C20)</f>
        <v>=C19-C17*RAIZ(C16)</v>
      </c>
    </row>
    <row r="21" spans="1:16" ht="17.100000000000001">
      <c r="B21" s="1" t="s">
        <v>212</v>
      </c>
      <c r="C21" s="93">
        <f>_xlfn.NORM.S.DIST(C19,TRUE)</f>
        <v>0.92545454564738783</v>
      </c>
      <c r="D21" t="str">
        <f t="shared" ca="1" si="0"/>
        <v>=DISTR.NORM.ESTAND.N(C19,VERDADERO)</v>
      </c>
    </row>
    <row r="22" spans="1:16" ht="17.100000000000001">
      <c r="B22" s="1" t="s">
        <v>213</v>
      </c>
      <c r="C22" s="93">
        <f>_xlfn.NORM.S.DIST(C20,TRUE)</f>
        <v>0.91845437930771112</v>
      </c>
      <c r="D22" t="str">
        <f t="shared" ca="1" si="0"/>
        <v>=DISTR.NORM.ESTAND.N(C20,VERDADERO)</v>
      </c>
    </row>
    <row r="23" spans="1:16" ht="17.100000000000001">
      <c r="B23" s="1" t="s">
        <v>214</v>
      </c>
      <c r="C23" s="95">
        <f>1-C21</f>
        <v>7.4545454352612173E-2</v>
      </c>
      <c r="D23" t="str">
        <f t="shared" ca="1" si="0"/>
        <v>=1-C21</v>
      </c>
    </row>
    <row r="24" spans="1:16" ht="17.100000000000001">
      <c r="B24" s="1" t="s">
        <v>215</v>
      </c>
      <c r="C24" s="95">
        <f>1-C22</f>
        <v>8.1545620692288878E-2</v>
      </c>
      <c r="D24" t="str">
        <f t="shared" ca="1" si="0"/>
        <v>=1-C22</v>
      </c>
    </row>
    <row r="27" spans="1:16" s="6" customFormat="1">
      <c r="A27" s="7" t="s">
        <v>216</v>
      </c>
      <c r="K27" s="28"/>
      <c r="P27" s="28" t="s">
        <v>25</v>
      </c>
    </row>
    <row r="38" spans="2:11" ht="17.100000000000001">
      <c r="B38" s="1" t="s">
        <v>205</v>
      </c>
      <c r="C38" s="3">
        <v>21</v>
      </c>
      <c r="G38" s="91" t="s">
        <v>206</v>
      </c>
      <c r="H38" s="94">
        <f>(C38-C40)*C47-C39*(EXP(-C41*C42))*C48</f>
        <v>2.4090724989365278</v>
      </c>
      <c r="J38" s="91" t="s">
        <v>35</v>
      </c>
      <c r="K38" s="94">
        <f>C39*(EXP(-C41*C42))*C50-(C38-C40)*C49</f>
        <v>0.93527268097296101</v>
      </c>
    </row>
    <row r="39" spans="2:11">
      <c r="B39" s="1" t="s">
        <v>203</v>
      </c>
      <c r="C39" s="3">
        <v>20</v>
      </c>
    </row>
    <row r="40" spans="2:11">
      <c r="B40" s="1" t="s">
        <v>217</v>
      </c>
      <c r="C40" s="3">
        <f>0.5*(EXP(-C41*2/12)+EXP(-C41*5/12))</f>
        <v>0.97133045546537788</v>
      </c>
    </row>
    <row r="41" spans="2:11">
      <c r="B41" s="1" t="s">
        <v>191</v>
      </c>
      <c r="C41" s="3">
        <v>0.1</v>
      </c>
    </row>
    <row r="42" spans="2:11">
      <c r="B42" s="1" t="s">
        <v>143</v>
      </c>
      <c r="C42" s="3">
        <f>9/12</f>
        <v>0.75</v>
      </c>
      <c r="D42" t="s">
        <v>208</v>
      </c>
    </row>
    <row r="43" spans="2:11">
      <c r="B43" s="92" t="s">
        <v>209</v>
      </c>
      <c r="C43" s="3">
        <v>0.23499999999999999</v>
      </c>
    </row>
    <row r="45" spans="2:11" ht="17.100000000000001">
      <c r="B45" s="1" t="s">
        <v>210</v>
      </c>
      <c r="C45" s="93">
        <f>(LN((C38-C40)/C39)+(C41+(C43^2)/2)*C42)/(C43*SQRT(C42))</f>
        <v>0.47731795117542358</v>
      </c>
    </row>
    <row r="46" spans="2:11" ht="17.100000000000001">
      <c r="B46" s="1" t="s">
        <v>211</v>
      </c>
      <c r="C46" s="93">
        <f>C45-C43*SQRT(C42)</f>
        <v>0.27380198128608052</v>
      </c>
    </row>
    <row r="47" spans="2:11" ht="17.100000000000001">
      <c r="B47" s="1" t="s">
        <v>212</v>
      </c>
      <c r="C47" s="93">
        <f>_xlfn.NORM.S.DIST(C45,TRUE)</f>
        <v>0.6834321349685939</v>
      </c>
    </row>
    <row r="48" spans="2:11" ht="17.100000000000001">
      <c r="B48" s="1" t="s">
        <v>213</v>
      </c>
      <c r="C48" s="93">
        <f>_xlfn.NORM.S.DIST(C46,TRUE)</f>
        <v>0.60788159953034693</v>
      </c>
    </row>
    <row r="49" spans="1:16" ht="17.100000000000001">
      <c r="B49" s="1" t="s">
        <v>214</v>
      </c>
      <c r="C49" s="95">
        <f>1-C47</f>
        <v>0.3165678650314061</v>
      </c>
    </row>
    <row r="50" spans="1:16" ht="17.100000000000001">
      <c r="B50" s="1" t="s">
        <v>215</v>
      </c>
      <c r="C50" s="95">
        <f>1-C48</f>
        <v>0.39211840046965307</v>
      </c>
    </row>
    <row r="53" spans="1:16" s="6" customFormat="1">
      <c r="A53" s="7" t="s">
        <v>218</v>
      </c>
      <c r="K53" s="28"/>
      <c r="P53" s="28" t="s">
        <v>25</v>
      </c>
    </row>
    <row r="64" spans="1:16" ht="17.100000000000001">
      <c r="B64" s="1" t="s">
        <v>205</v>
      </c>
      <c r="C64" s="3">
        <v>20</v>
      </c>
      <c r="G64" s="91" t="s">
        <v>206</v>
      </c>
      <c r="H64" s="94">
        <f>C64*EXP(-C66*C68)*C73-C65*(EXP(-C67*C68))*C74</f>
        <v>1.3331381873518282</v>
      </c>
      <c r="J64" s="91" t="s">
        <v>35</v>
      </c>
      <c r="K64" s="94">
        <f>C65*(EXP(-C67*C68))*C76-(C64*EXP(-C66*C68)*C75)</f>
        <v>1.0230300160888817</v>
      </c>
    </row>
    <row r="65" spans="1:16">
      <c r="B65" s="1" t="s">
        <v>203</v>
      </c>
      <c r="C65" s="3">
        <v>20</v>
      </c>
    </row>
    <row r="66" spans="1:16">
      <c r="B66" s="1" t="s">
        <v>123</v>
      </c>
      <c r="C66" s="97">
        <v>0.05</v>
      </c>
    </row>
    <row r="67" spans="1:16">
      <c r="B67" s="1" t="s">
        <v>191</v>
      </c>
      <c r="C67" s="96">
        <v>0.1133</v>
      </c>
    </row>
    <row r="68" spans="1:16">
      <c r="B68" s="1" t="s">
        <v>143</v>
      </c>
      <c r="C68" s="3">
        <f>3/12</f>
        <v>0.25</v>
      </c>
      <c r="D68" t="s">
        <v>208</v>
      </c>
    </row>
    <row r="69" spans="1:16">
      <c r="B69" s="92" t="s">
        <v>209</v>
      </c>
      <c r="C69" s="97">
        <v>0.3</v>
      </c>
    </row>
    <row r="71" spans="1:16" ht="17.100000000000001">
      <c r="B71" s="1" t="s">
        <v>210</v>
      </c>
      <c r="C71" s="93">
        <f>(LN(C64/C65)+(C67-C66+(C69^2)/2)*C68)/(C69*SQRT(C68))</f>
        <v>0.18049999999999999</v>
      </c>
    </row>
    <row r="72" spans="1:16" ht="17.100000000000001">
      <c r="B72" s="1" t="s">
        <v>211</v>
      </c>
      <c r="C72" s="93">
        <f>C71-C69*SQRT(C68)</f>
        <v>3.0499999999999999E-2</v>
      </c>
    </row>
    <row r="73" spans="1:16" ht="17.100000000000001">
      <c r="B73" s="1" t="s">
        <v>212</v>
      </c>
      <c r="C73" s="93">
        <f>_xlfn.NORM.S.DIST(C71,TRUE)</f>
        <v>0.57161997280259036</v>
      </c>
    </row>
    <row r="74" spans="1:16" ht="17.100000000000001">
      <c r="B74" s="1" t="s">
        <v>213</v>
      </c>
      <c r="C74" s="93">
        <f>_xlfn.NORM.S.DIST(C72,TRUE)</f>
        <v>0.51216585330883324</v>
      </c>
    </row>
    <row r="75" spans="1:16" ht="17.100000000000001">
      <c r="B75" s="1" t="s">
        <v>214</v>
      </c>
      <c r="C75" s="95">
        <f>1-C73</f>
        <v>0.42838002719740964</v>
      </c>
    </row>
    <row r="76" spans="1:16" ht="17.100000000000001">
      <c r="B76" s="1" t="s">
        <v>215</v>
      </c>
      <c r="C76" s="95">
        <f>1-C74</f>
        <v>0.48783414669116676</v>
      </c>
    </row>
    <row r="79" spans="1:16" s="6" customFormat="1">
      <c r="A79" s="7" t="s">
        <v>219</v>
      </c>
      <c r="K79" s="28"/>
      <c r="P79" s="28" t="s">
        <v>25</v>
      </c>
    </row>
    <row r="90" spans="2:11" ht="17.100000000000001">
      <c r="B90" s="1" t="s">
        <v>189</v>
      </c>
      <c r="C90" s="3">
        <v>19.579999999999998</v>
      </c>
      <c r="G90" s="91" t="s">
        <v>206</v>
      </c>
      <c r="H90" s="94">
        <f>C90*EXP(-C92*C94)*C99-C91*(EXP(-C93*C94))*C100</f>
        <v>0.33964814342906102</v>
      </c>
      <c r="J90" s="91" t="s">
        <v>35</v>
      </c>
      <c r="K90" s="94">
        <f>C91*(EXP(-C93*C94))*C102-(C90*EXP(-C92*C94)*C101)</f>
        <v>1.491280994688875</v>
      </c>
    </row>
    <row r="91" spans="2:11">
      <c r="B91" s="1" t="s">
        <v>203</v>
      </c>
      <c r="C91" s="3">
        <v>22</v>
      </c>
    </row>
    <row r="92" spans="2:11" ht="17.100000000000001">
      <c r="B92" s="1" t="s">
        <v>197</v>
      </c>
      <c r="C92" s="96">
        <v>4.0300000000000002E-2</v>
      </c>
    </row>
    <row r="93" spans="2:11">
      <c r="B93" s="1" t="s">
        <v>191</v>
      </c>
      <c r="C93" s="96">
        <v>9.74E-2</v>
      </c>
    </row>
    <row r="94" spans="2:11">
      <c r="B94" s="1" t="s">
        <v>143</v>
      </c>
      <c r="C94" s="3">
        <v>1</v>
      </c>
      <c r="D94" t="s">
        <v>208</v>
      </c>
    </row>
    <row r="95" spans="2:11">
      <c r="B95" s="92" t="s">
        <v>209</v>
      </c>
      <c r="C95" s="9">
        <v>0.10155176312440459</v>
      </c>
    </row>
    <row r="97" spans="2:3" ht="17.100000000000001">
      <c r="B97" s="1" t="s">
        <v>210</v>
      </c>
      <c r="C97" s="93">
        <f>(LN(C90/C91)+(C93-C92+(C95^2)/2)*C94)/(C95*SQRT(C94))</f>
        <v>-0.5344804884640183</v>
      </c>
    </row>
    <row r="98" spans="2:3" ht="17.100000000000001">
      <c r="B98" s="1" t="s">
        <v>211</v>
      </c>
      <c r="C98" s="93">
        <f>C97-C95*SQRT(C94)</f>
        <v>-0.63603225158842291</v>
      </c>
    </row>
    <row r="99" spans="2:3" ht="17.100000000000001">
      <c r="B99" s="1" t="s">
        <v>212</v>
      </c>
      <c r="C99" s="93">
        <f>_xlfn.NORM.S.DIST(C97,TRUE)</f>
        <v>0.29650457260567226</v>
      </c>
    </row>
    <row r="100" spans="2:3" ht="17.100000000000001">
      <c r="B100" s="1" t="s">
        <v>213</v>
      </c>
      <c r="C100" s="93">
        <f>_xlfn.NORM.S.DIST(C98,TRUE)</f>
        <v>0.26237770055981591</v>
      </c>
    </row>
    <row r="101" spans="2:3" ht="17.100000000000001">
      <c r="B101" s="1" t="s">
        <v>214</v>
      </c>
      <c r="C101" s="95">
        <f>_xlfn.NORM.S.DIST(-C97,TRUE)</f>
        <v>0.70349542739432769</v>
      </c>
    </row>
    <row r="102" spans="2:3" ht="17.100000000000001">
      <c r="B102" s="1" t="s">
        <v>215</v>
      </c>
      <c r="C102" s="95">
        <f>_xlfn.NORM.S.DIST(-C98,TRUE)</f>
        <v>0.73762229944018409</v>
      </c>
    </row>
  </sheetData>
  <hyperlinks>
    <hyperlink ref="P1" location="Índice!A1" display="Regreso al Índice" xr:uid="{824A7D4C-93BC-4CB0-8BC7-C1EDEA21A8A2}"/>
    <hyperlink ref="P27" location="Índice!A1" display="Regreso al Índice" xr:uid="{6E886826-8125-41F0-9548-E59E2CFC2F69}"/>
    <hyperlink ref="P53" location="Índice!A1" display="Regreso al Índice" xr:uid="{1F8FF7C6-CFE1-4118-B2F9-58F6AA8E622E}"/>
    <hyperlink ref="P79" location="Índice!A1" display="Regreso al Índice" xr:uid="{F43BF5A7-60D6-4648-A6C6-668F50F3A6D7}"/>
  </hyperlink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B35"/>
  <sheetViews>
    <sheetView showGridLines="0" zoomScale="60" zoomScaleNormal="60" workbookViewId="0"/>
  </sheetViews>
  <sheetFormatPr defaultColWidth="9.140625" defaultRowHeight="15"/>
  <sheetData>
    <row r="1" spans="2:28">
      <c r="B1" s="100" t="s">
        <v>220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</row>
    <row r="35" spans="2:28">
      <c r="B35" s="101" t="s">
        <v>221</v>
      </c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</row>
  </sheetData>
  <mergeCells count="2">
    <mergeCell ref="B1:AB1"/>
    <mergeCell ref="B35:AB3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835865EB09FA4F8AF0823547988769" ma:contentTypeVersion="7" ma:contentTypeDescription="Create a new document." ma:contentTypeScope="" ma:versionID="b455476372fc0feba34fd63338cfd5f3">
  <xsd:schema xmlns:xsd="http://www.w3.org/2001/XMLSchema" xmlns:xs="http://www.w3.org/2001/XMLSchema" xmlns:p="http://schemas.microsoft.com/office/2006/metadata/properties" xmlns:ns2="9d63bd8f-f4f2-45db-b534-f5f5cad13c33" targetNamespace="http://schemas.microsoft.com/office/2006/metadata/properties" ma:root="true" ma:fieldsID="128069d3d5d132ef31f9a686a825dab1" ns2:_="">
    <xsd:import namespace="9d63bd8f-f4f2-45db-b534-f5f5cad13c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63bd8f-f4f2-45db-b534-f5f5cad13c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A2C25F0-4FB4-4702-B327-2A91279104F1}"/>
</file>

<file path=customXml/itemProps2.xml><?xml version="1.0" encoding="utf-8"?>
<ds:datastoreItem xmlns:ds="http://schemas.openxmlformats.org/officeDocument/2006/customXml" ds:itemID="{A7975134-D051-41B3-B707-49C982A8FE6C}"/>
</file>

<file path=customXml/itemProps3.xml><?xml version="1.0" encoding="utf-8"?>
<ds:datastoreItem xmlns:ds="http://schemas.openxmlformats.org/officeDocument/2006/customXml" ds:itemID="{1347BEC9-E7DB-4952-AB71-EAF520E3B0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 FRANCISCO GARCIA</dc:creator>
  <cp:keywords/>
  <dc:description/>
  <cp:lastModifiedBy>Sofia Graham Coello</cp:lastModifiedBy>
  <cp:revision/>
  <dcterms:created xsi:type="dcterms:W3CDTF">2020-05-23T20:04:15Z</dcterms:created>
  <dcterms:modified xsi:type="dcterms:W3CDTF">2026-04-29T03:06:57Z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0x01010092835865EB09FA4F8AF0823547988769</vt:lpwstr>
  </property>
</Properties>
</file>