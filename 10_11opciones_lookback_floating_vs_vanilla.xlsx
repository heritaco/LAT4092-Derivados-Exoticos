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de18f9d2b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okback" sheetId="1" r:id="R058d740e3705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;[Red]($#,##0.00);-"/>
    <x:numFmt numFmtId="201" formatCode="0.00%"/>
    <x:numFmt numFmtId="202" formatCode="#,##0;[Red](#,##0);-"/>
    <x:numFmt numFmtId="203" formatCode="#,##0.0000;[Red](#,##0.0000);-"/>
    <x:numFmt numFmtId="204" formatCode="$#,##0.0000;[Red]($#,##0.0000);-"/>
  </x:numFmts>
  <x:fonts count="8">
    <x:font>
      <x:sz val="11"/>
      <x:name val="Carlito"/>
    </x:font>
    <x:font>
      <x:b/>
      <x:sz val="16"/>
      <x:color rgb="FFFFFF"/>
      <x:name val="Carlito"/>
    </x:font>
    <x:font>
      <x:b/>
      <x:sz val="13"/>
      <x:color rgb="FFFFFF"/>
      <x:name val="Carlito"/>
    </x:font>
    <x:font>
      <x:b/>
      <x:sz val="12"/>
      <x:color rgb="FFFFFF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FF"/>
      <x:name val="Carlito"/>
    </x:font>
    <x:font>
      <x:b/>
      <x:sz val="11"/>
      <x:color rgb="0000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05496"/>
      </x:patternFill>
    </x:fill>
    <x:fill>
      <x:patternFill patternType="solid">
        <x:fgColor rgb="808080"/>
      </x:patternFill>
    </x:fill>
    <x:fill>
      <x:patternFill patternType="solid">
        <x:fgColor rgb="5B9BD5"/>
      </x:patternFill>
    </x:fill>
    <x:fill>
      <x:patternFill patternType="solid">
        <x:fgColor rgb="EAF4FB"/>
      </x:patternFill>
    </x:fill>
    <x:fill>
      <x:patternFill patternType="solid">
        <x:fgColor rgb="FFF2CC"/>
      </x:patternFill>
    </x:fill>
    <x:fill>
      <x:patternFill patternType="solid">
        <x:fgColor rgb="F3F6F8"/>
      </x:patternFill>
    </x:fill>
    <x:fill>
      <x:patternFill patternType="solid">
        <x:fgColor rgb="F8FBFD"/>
      </x:patternFill>
    </x:fill>
    <x:fill>
      <x:patternFill patternType="solid">
        <x:fgColor rgb="E2F0D9"/>
      </x:patternFill>
    </x:fill>
    <x:fill>
      <x:patternFill patternType="solid">
        <x:fgColor rgb="D9EAD3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right"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right"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horizontal="right"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horizontal="right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7" fillId="10" borderId="0" xfId="0" applyNumberFormat="1" applyFont="1" applyFill="1" applyBorder="1" applyAlignment="1">
      <x:alignment vertical="center" wrapText="1"/>
    </x:xf>
    <x:xf numFmtId="0" fontId="7" fillId="10" borderId="0" xfId="0" applyNumberFormat="1" applyFont="1" applyFill="1" applyBorder="1" applyAlignment="1">
      <x:alignment horizontal="right" vertical="center" wrapText="1"/>
    </x:xf>
    <x:xf numFmtId="0" fontId="5" fillId="10" borderId="1" xfId="0" applyNumberFormat="1" applyFont="1" applyFill="1" applyBorder="1" applyAlignment="1">
      <x:alignment vertical="center" wrapText="1"/>
    </x:xf>
    <x:xf numFmtId="0" fontId="7" fillId="10" borderId="1" xfId="0" applyNumberFormat="1" applyFont="1" applyFill="1" applyBorder="1" applyAlignment="1">
      <x:alignment vertical="center" wrapText="1"/>
    </x:xf>
    <x:xf numFmtId="0" fontId="7" fillId="10" borderId="1" xfId="0" applyNumberFormat="1" applyFont="1" applyFill="1" applyBorder="1" applyAlignment="1">
      <x:alignment horizontal="right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right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horizontal="right"/>
    </x:xf>
    <x:xf numFmtId="0" fontId="5" fillId="11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5" fillId="11" borderId="1" xfId="0" applyNumberFormat="1" applyFont="1" applyFill="1" applyBorder="1" applyAlignment="1">
      <x:alignment vertical="center" wrapText="1"/>
    </x:xf>
    <x:xf numFmtId="0" fontId="7" fillId="11" borderId="1" xfId="0" applyNumberFormat="1" applyFont="1" applyFill="1" applyBorder="1" applyAlignment="1">
      <x:alignment vertical="center" wrapText="1"/>
    </x:xf>
    <x:xf numFmtId="0" fontId="7" fillId="11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right"/>
    </x:xf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right"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right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horizontal="right"/>
    </x:xf>
    <x:xf numFmtId="0" fontId="7" fillId="9" borderId="1" xfId="0" applyNumberFormat="1" applyFont="1" applyFill="1" applyBorder="1" applyAlignment="1">
      <x:alignment horizontal="center"/>
    </x:xf>
    <x:xf numFmtId="0" fontId="7" fillId="9" borderId="1" xfId="0" applyNumberFormat="1" applyFont="1" applyFill="1" applyBorder="1" applyAlignment="1">
      <x:alignment horizontal="right" wrapText="1"/>
    </x:xf>
    <x:xf numFmtId="0" fontId="7" fillId="9" borderId="1" xfId="0" applyNumberFormat="1" applyFont="1" applyFill="1" applyBorder="1" applyAlignment="1">
      <x:alignment horizontal="center" wrapText="1"/>
    </x:xf>
    <x:xf numFmtId="0" fontId="7" fillId="9" borderId="1" xfId="0" applyNumberFormat="1" applyFont="1" applyFill="1" applyBorder="1" applyAlignment="1">
      <x:alignment horizontal="right" vertic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vertical="top" wrapText="1"/>
    </x:xf>
    <x:xf numFmtId="200" fontId="6" fillId="7" borderId="0" xfId="0" applyNumberFormat="1" applyFont="1" applyFill="1" applyBorder="1" applyAlignment="1">
      <x:alignment horizontal="right" vertical="center" wrapText="1"/>
    </x:xf>
    <x:xf numFmtId="200" fontId="6" fillId="7" borderId="1" xfId="0" applyNumberFormat="1" applyFont="1" applyFill="1" applyBorder="1" applyAlignment="1">
      <x:alignment horizontal="right" vertical="center" wrapText="1"/>
    </x:xf>
    <x:xf numFmtId="200" fontId="5" fillId="8" borderId="0" xfId="0" applyNumberFormat="1" applyFont="1" applyFill="1" applyBorder="1" applyAlignment="1">
      <x:alignment horizontal="right" vertical="center" wrapText="1"/>
    </x:xf>
    <x:xf numFmtId="200" fontId="5" fillId="8" borderId="1" xfId="0" applyNumberFormat="1" applyFont="1" applyFill="1" applyBorder="1" applyAlignment="1">
      <x:alignment horizontal="right" vertical="center" wrapText="1"/>
    </x:xf>
    <x:xf numFmtId="201" fontId="6" fillId="7" borderId="0" xfId="0" applyNumberFormat="1" applyFont="1" applyFill="1" applyBorder="1" applyAlignment="1">
      <x:alignment horizontal="right" vertical="center" wrapText="1"/>
    </x:xf>
    <x:xf numFmtId="201" fontId="6" fillId="7" borderId="1" xfId="0" applyNumberFormat="1" applyFont="1" applyFill="1" applyBorder="1" applyAlignment="1">
      <x:alignment horizontal="right" vertical="center" wrapText="1"/>
    </x:xf>
    <x:xf numFmtId="202" fontId="6" fillId="7" borderId="0" xfId="0" applyNumberFormat="1" applyFont="1" applyFill="1" applyBorder="1" applyAlignment="1">
      <x:alignment horizontal="right" vertical="center" wrapText="1"/>
    </x:xf>
    <x:xf numFmtId="202" fontId="6" fillId="7" borderId="1" xfId="0" applyNumberFormat="1" applyFont="1" applyFill="1" applyBorder="1" applyAlignment="1">
      <x:alignment horizontal="right" vertical="center" wrapText="1"/>
    </x:xf>
    <x:xf numFmtId="203" fontId="5" fillId="8" borderId="0" xfId="0" applyNumberFormat="1" applyFont="1" applyFill="1" applyBorder="1" applyAlignment="1">
      <x:alignment horizontal="right" vertical="center" wrapText="1"/>
    </x:xf>
    <x:xf numFmtId="203" fontId="5" fillId="8" borderId="1" xfId="0" applyNumberFormat="1" applyFont="1" applyFill="1" applyBorder="1" applyAlignment="1">
      <x:alignment horizontal="right" vertical="center" wrapText="1"/>
    </x:xf>
    <x:xf numFmtId="203" fontId="5" fillId="9" borderId="0" xfId="0" applyNumberFormat="1" applyFont="1" applyFill="1" applyBorder="1" applyAlignment="1">
      <x:alignment vertical="center" wrapText="1"/>
    </x:xf>
    <x:xf numFmtId="203" fontId="5" fillId="9" borderId="1" xfId="0" applyNumberFormat="1" applyFont="1" applyFill="1" applyBorder="1" applyAlignment="1">
      <x:alignment vertical="center" wrapText="1"/>
    </x:xf>
    <x:xf numFmtId="204" fontId="7" fillId="10" borderId="0" xfId="0" applyNumberFormat="1" applyFont="1" applyFill="1" applyBorder="1" applyAlignment="1">
      <x:alignment horizontal="right" vertical="center" wrapText="1"/>
    </x:xf>
    <x:xf numFmtId="204" fontId="7" fillId="10" borderId="1" xfId="0" applyNumberFormat="1" applyFont="1" applyFill="1" applyBorder="1" applyAlignment="1">
      <x:alignment horizontal="right" vertical="center" wrapText="1"/>
    </x:xf>
    <x:xf numFmtId="204" fontId="7" fillId="9" borderId="0" xfId="0" applyNumberFormat="1" applyFont="1" applyFill="1" applyBorder="1" applyAlignment="1">
      <x:alignment horizontal="right" vertical="center" wrapText="1"/>
    </x:xf>
    <x:xf numFmtId="204" fontId="7" fillId="9" borderId="1" xfId="0" applyNumberFormat="1" applyFont="1" applyFill="1" applyBorder="1" applyAlignment="1">
      <x:alignment horizontal="right" vertical="center" wrapText="1"/>
    </x:xf>
    <x:xf numFmtId="203" fontId="6" fillId="7" borderId="0" xfId="0" applyNumberFormat="1" applyFont="1" applyFill="1" applyBorder="1" applyAlignment="1">
      <x:alignment horizontal="right" vertical="center" wrapText="1"/>
    </x:xf>
    <x:xf numFmtId="203" fontId="6" fillId="7" borderId="1" xfId="0" applyNumberFormat="1" applyFont="1" applyFill="1" applyBorder="1" applyAlignment="1">
      <x:alignment horizontal="right" vertical="center" wrapText="1"/>
    </x:xf>
    <x:xf numFmtId="203" fontId="7" fillId="9" borderId="0" xfId="0" applyNumberFormat="1" applyFont="1" applyFill="1" applyBorder="1" applyAlignment="1">
      <x:alignment horizontal="right" vertical="center" wrapText="1"/>
    </x:xf>
    <x:xf numFmtId="203" fontId="7" fillId="9" borderId="1" xfId="0" applyNumberFormat="1" applyFont="1" applyFill="1" applyBorder="1" applyAlignment="1">
      <x:alignment horizontal="right" vertical="center" wrapText="1"/>
    </x:xf>
    <x:xf numFmtId="203" fontId="7" fillId="10" borderId="0" xfId="0" applyNumberFormat="1" applyFont="1" applyFill="1" applyBorder="1" applyAlignment="1">
      <x:alignment horizontal="right" vertical="center" wrapText="1"/>
    </x:xf>
    <x:xf numFmtId="203" fontId="7" fillId="10" borderId="1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f4b4f27454efa" /><Relationship Type="http://schemas.openxmlformats.org/officeDocument/2006/relationships/theme" Target="/xl/theme/theme1.xml" Id="R42531c8686c24774" /><Relationship Type="http://schemas.openxmlformats.org/officeDocument/2006/relationships/sharedStrings" Target="/xl/sharedStrings.xml" Id="Rccc3b128944442dd" /><Relationship Type="http://schemas.openxmlformats.org/officeDocument/2006/relationships/worksheet" Target="/xl/worksheets/sheet1.xml" Id="R058d740e370540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36" hidden="0" customWidth="1"/>
    <x:col min="6" max="6" width="3" hidden="0" customWidth="1"/>
    <x:col min="7" max="7" width="24" hidden="0" customWidth="1"/>
    <x:col min="8" max="8" width="58" hidden="0" customWidth="1"/>
    <x:col min="9" max="9" width="16" hidden="0" customWidth="1"/>
    <x:col min="10" max="10" width="28" hidden="0" customWidth="1"/>
  </x:cols>
  <x:sheetData>
    <x:row r="1">
      <x:c r="A1" s="126" t="str">
        <x:v>Valuación de opciones Floating Lookback y comparación con Vanilla</x:v>
      </x:c>
      <x:c r="B1" s="126"/>
      <x:c r="C1" s="126"/>
      <x:c r="D1" s="126"/>
      <x:c r="E1" s="126"/>
      <x:c r="F1" s="126"/>
      <x:c r="G1" s="126"/>
      <x:c r="H1" s="126"/>
      <x:c r="I1" s="126"/>
      <x:c r="J1" s="126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</x:row>
    <x:row r="3">
      <x:c r="A3" s="128" t="str">
        <x:v>Ejercicio 1 · Put floating lookback sobre acción sin dividendos</x:v>
      </x:c>
      <x:c r="B3" s="128"/>
      <x:c r="C3" s="128"/>
      <x:c r="D3" s="128"/>
      <x:c r="E3" s="128"/>
      <x:c r="F3" s="128"/>
      <x:c r="G3" s="128"/>
      <x:c r="H3" s="128"/>
      <x:c r="I3" s="128"/>
      <x:c r="J3" s="128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</x:row>
    <x:row r="5">
      <x:c r="A5" s="129" t="str">
        <x:v>Dato</x:v>
      </x:c>
      <x:c r="B5" s="129" t="str">
        <x:v>Símbolo</x:v>
      </x:c>
      <x:c r="C5" s="129" t="str">
        <x:v>Valor</x:v>
      </x:c>
      <x:c r="D5" s="129" t="str">
        <x:v>Unidad</x:v>
      </x:c>
      <x:c r="E5" s="129" t="str">
        <x:v>Fuente / nota</x:v>
      </x:c>
      <x:c r="F5" s="127"/>
      <x:c r="G5" s="129" t="str">
        <x:v>Concepto</x:v>
      </x:c>
      <x:c r="H5" s="129" t="str">
        <x:v>Fórmula / definición</x:v>
      </x:c>
      <x:c r="I5" s="129" t="str">
        <x:v>Valor</x:v>
      </x:c>
      <x:c r="J5" s="129" t="str">
        <x:v>Notas</x:v>
      </x:c>
    </x:row>
    <x:row r="6">
      <x:c r="A6" s="37" t="str">
        <x:v>Precio spot actual</x:v>
      </x:c>
      <x:c r="B6" s="37" t="str">
        <x:v>S₀</x:v>
      </x:c>
      <x:c r="C6" s="104" t="n">
        <x:v>50</x:v>
      </x:c>
      <x:c r="D6" s="37" t="str">
        <x:v>$</x:v>
      </x:c>
      <x:c r="E6" s="37" t="str">
        <x:v>Enunciado</x:v>
      </x:c>
      <x:c r="F6" s="127"/>
      <x:c r="G6" s="55" t="str">
        <x:v>τ</x:v>
      </x:c>
      <x:c r="H6" s="55" t="str">
        <x:v>Tiempo remanente</x:v>
      </x:c>
      <x:c r="I6" s="114" t="n">
        <x:f>C12</x:f>
        <x:v>0.25</x:v>
      </x:c>
      <x:c r="J6" s="55" t="str">
        <x:v>τ = T</x:v>
      </x:c>
    </x:row>
    <x:row r="7">
      <x:c r="A7" s="37" t="str">
        <x:v>Precio máximo a la fecha</x:v>
      </x:c>
      <x:c r="B7" s="37" t="str">
        <x:v>S_max</x:v>
      </x:c>
      <x:c r="C7" s="104" t="n">
        <x:v>50</x:v>
      </x:c>
      <x:c r="D7" s="37" t="str">
        <x:v>$</x:v>
      </x:c>
      <x:c r="E7" s="37" t="str">
        <x:v>Como se está emitiendo: S_max = S₀</x:v>
      </x:c>
      <x:c r="F7" s="127"/>
      <x:c r="G7" s="55" t="str">
        <x:v>λ</x:v>
      </x:c>
      <x:c r="H7" s="55" t="str">
        <x:v>σ² / [2(r−q)]</x:v>
      </x:c>
      <x:c r="I7" s="114" t="n">
        <x:f>C10^2/(2*(C9-C8))</x:f>
        <x:v>0.8000000000000002</x:v>
      </x:c>
      <x:c r="J7" s="55" t="str">
        <x:v>Factor de corrección lookback</x:v>
      </x:c>
    </x:row>
    <x:row r="8">
      <x:c r="A8" s="37" t="str">
        <x:v>Dividend yield</x:v>
      </x:c>
      <x:c r="B8" s="37" t="str">
        <x:v>q</x:v>
      </x:c>
      <x:c r="C8" s="108" t="n">
        <x:v>0</x:v>
      </x:c>
      <x:c r="D8" s="37" t="str">
        <x:v>% anual</x:v>
      </x:c>
      <x:c r="E8" s="37" t="str">
        <x:v>No paga dividendos</x:v>
      </x:c>
      <x:c r="F8" s="127"/>
      <x:c r="G8" s="55" t="str">
        <x:v>b₁</x:v>
      </x:c>
      <x:c r="H8" s="55" t="str">
        <x:v>[ln(Smax/S₀)+(-r+q+σ²/2)τ]/(σ√τ)</x:v>
      </x:c>
      <x:c r="I8" s="114" t="n">
        <x:f>(LN(C7/C6)+(-C9+C8+C10^2/2)*I6)/(C10*SQRT(I6))</x:f>
        <x:v>-0.024999999999999988</x:v>
      </x:c>
      <x:c r="J8" s="55" t="str">
        <x:v>Parámetro del put lookback</x:v>
      </x:c>
    </x:row>
    <x:row r="9">
      <x:c r="A9" s="37" t="str">
        <x:v>Tasa libre de riesgo</x:v>
      </x:c>
      <x:c r="B9" s="37" t="str">
        <x:v>r</x:v>
      </x:c>
      <x:c r="C9" s="108" t="n">
        <x:v>0.1</x:v>
      </x:c>
      <x:c r="D9" s="37" t="str">
        <x:v>% anual</x:v>
      </x:c>
      <x:c r="E9" s="37" t="str">
        <x:v>Enunciado</x:v>
      </x:c>
      <x:c r="F9" s="127"/>
      <x:c r="G9" s="55" t="str">
        <x:v>b₂</x:v>
      </x:c>
      <x:c r="H9" s="55" t="str">
        <x:v>b₁ − σ√τ</x:v>
      </x:c>
      <x:c r="I9" s="114" t="n">
        <x:f>I8-C10*SQRT(I6)</x:f>
        <x:v>-0.225</x:v>
      </x:c>
      <x:c r="J9" s="55" t="str">
        <x:v>Parámetro del put lookback</x:v>
      </x:c>
    </x:row>
    <x:row r="10">
      <x:c r="A10" s="37" t="str">
        <x:v>Volatilidad anual</x:v>
      </x:c>
      <x:c r="B10" s="37" t="str">
        <x:v>σ</x:v>
      </x:c>
      <x:c r="C10" s="108" t="n">
        <x:v>0.4</x:v>
      </x:c>
      <x:c r="D10" s="37" t="str">
        <x:v>% anual</x:v>
      </x:c>
      <x:c r="E10" s="37" t="str">
        <x:v>Enunciado</x:v>
      </x:c>
      <x:c r="F10" s="127"/>
      <x:c r="G10" s="55" t="str">
        <x:v>b₃</x:v>
      </x:c>
      <x:c r="H10" s="55" t="str">
        <x:v>[ln(Smax/S₀)+(r−q−σ²/2)τ]/(σ√τ)</x:v>
      </x:c>
      <x:c r="I10" s="114" t="n">
        <x:f>(LN(C7/C6)+(C9-C8-C10^2/2)*I6)/(C10*SQRT(I6))</x:f>
        <x:v>0.024999999999999988</x:v>
      </x:c>
      <x:c r="J10" s="55" t="str">
        <x:v>Parámetro del put lookback</x:v>
      </x:c>
    </x:row>
    <x:row r="11">
      <x:c r="A11" s="37" t="str">
        <x:v>Vencimiento</x:v>
      </x:c>
      <x:c r="B11" s="37" t="str">
        <x:v>meses</x:v>
      </x:c>
      <x:c r="C11" s="110" t="n">
        <x:v>3</x:v>
      </x:c>
      <x:c r="D11" s="37" t="str">
        <x:v>meses</x:v>
      </x:c>
      <x:c r="E11" s="37" t="str">
        <x:v>Enunciado</x:v>
      </x:c>
      <x:c r="F11" s="127"/>
      <x:c r="G11" s="55" t="str">
        <x:v>Y₂</x:v>
      </x:c>
      <x:c r="H11" s="55" t="str">
        <x:v>2(r−q−σ²/2)ln(Smax/S₀)/σ²</x:v>
      </x:c>
      <x:c r="I11" s="114" t="n">
        <x:f>2*(C9-C8-C10^2/2)*LN(C7/C6)/(C10^2)</x:f>
        <x:v>0</x:v>
      </x:c>
      <x:c r="J11" s="55" t="str">
        <x:v>Exponente lookback</x:v>
      </x:c>
    </x:row>
    <x:row r="12">
      <x:c r="A12" s="37" t="str">
        <x:v>Vencimiento</x:v>
      </x:c>
      <x:c r="B12" s="37" t="str">
        <x:v>T</x:v>
      </x:c>
      <x:c r="C12" s="112" t="n">
        <x:f>C11/12</x:f>
        <x:v>0.25</x:v>
      </x:c>
      <x:c r="D12" s="37" t="str">
        <x:v>años</x:v>
      </x:c>
      <x:c r="E12" s="37" t="str">
        <x:v>T = meses / 12</x:v>
      </x:c>
      <x:c r="F12" s="127"/>
      <x:c r="G12" s="55" t="str">
        <x:v>N(b₁)</x:v>
      </x:c>
      <x:c r="H12" s="55" t="str">
        <x:v>Normal estándar acumulada</x:v>
      </x:c>
      <x:c r="I12" s="114" t="n">
        <x:f>NORM.S.DIST(I8,TRUE)</x:f>
        <x:v>0.49002748180476197</x:v>
      </x:c>
      <x:c r="J12" s="55" t="str">
        <x:v>Chequeo intermedio</x:v>
      </x:c>
    </x:row>
    <x:row r="13">
      <x:c r="A13" s="37" t="str">
        <x:v>Strike vanilla</x:v>
      </x:c>
      <x:c r="B13" s="37" t="str">
        <x:v>K</x:v>
      </x:c>
      <x:c r="C13" s="106" t="n">
        <x:f>C6</x:f>
        <x:v>50</x:v>
      </x:c>
      <x:c r="D13" s="37" t="str">
        <x:v>$</x:v>
      </x:c>
      <x:c r="E13" s="37" t="str">
        <x:v>Supuesto comparativo ATM: K = S₀</x:v>
      </x:c>
      <x:c r="F13" s="127"/>
      <x:c r="G13" s="55" t="str">
        <x:v>N(−b₃)</x:v>
      </x:c>
      <x:c r="H13" s="55" t="str">
        <x:v>Normal estándar acumulada</x:v>
      </x:c>
      <x:c r="I13" s="114" t="n">
        <x:f>NORM.S.DIST(-I10,TRUE)</x:f>
        <x:v>0.49002748180476197</x:v>
      </x:c>
      <x:c r="J13" s="55" t="str">
        <x:v>Chequeo intermedio</x:v>
      </x:c>
    </x:row>
    <x:row r="14">
      <x:c r="A14" s="127"/>
      <x:c r="B14" s="127"/>
      <x:c r="C14" s="127"/>
      <x:c r="D14" s="127"/>
      <x:c r="E14" s="127"/>
      <x:c r="F14" s="127"/>
      <x:c r="G14" s="55" t="str">
        <x:v>Put floating lookback</x:v>
      </x:c>
      <x:c r="H14" s="55" t="str">
        <x:v>Smax e^{-rτ}[N(b₁)−λe^{Y₂}N(−b₃)] + S₀e^{-qτ}λN(−b₂) − S₀e^{-qτ}N(b₂)</x:v>
      </x:c>
      <x:c r="I14" s="116" t="n">
        <x:f>C7*EXP(-C9*I6)*(NORM.S.DIST(I8,TRUE)-I7*EXP(I11)*NORM.S.DIST(-I10,TRUE))+C6*EXP(-C8*I6)*I7*NORM.S.DIST(-I9,TRUE)-C6*EXP(-C8*I6)*NORM.S.DIST(I9,TRUE)</x:f>
        <x:v>7.790219259890353</x:v>
      </x:c>
      <x:c r="J14" s="55" t="str">
        <x:v>Prima exótica</x:v>
      </x:c>
    </x:row>
    <x:row r="15">
      <x:c r="A15" s="127"/>
      <x:c r="B15" s="127"/>
      <x:c r="C15" s="127"/>
      <x:c r="D15" s="127"/>
      <x:c r="E15" s="127"/>
      <x:c r="F15" s="127"/>
      <x:c r="G15" s="55" t="str">
        <x:v>d₁ vanilla</x:v>
      </x:c>
      <x:c r="H15" s="55" t="str">
        <x:v>[ln(S₀/K)+(r−q+σ²/2)T]/(σ√T)</x:v>
      </x:c>
      <x:c r="I15" s="114" t="n">
        <x:f>(LN(C6/C13)+(C9-C8+C10^2/2)*C12)/(C10*SQRT(C12))</x:f>
        <x:v>0.225</x:v>
      </x:c>
      <x:c r="J15" s="55" t="str">
        <x:v>Vanilla ATM</x:v>
      </x:c>
    </x:row>
    <x:row r="16">
      <x:c r="A16" s="127"/>
      <x:c r="B16" s="127"/>
      <x:c r="C16" s="127"/>
      <x:c r="D16" s="127"/>
      <x:c r="E16" s="127"/>
      <x:c r="F16" s="127"/>
      <x:c r="G16" s="55" t="str">
        <x:v>d₂ vanilla</x:v>
      </x:c>
      <x:c r="H16" s="55" t="str">
        <x:v>d₁ − σ√T</x:v>
      </x:c>
      <x:c r="I16" s="114" t="n">
        <x:f>I15-C10*SQRT(C12)</x:f>
        <x:v>0.024999999999999994</x:v>
      </x:c>
      <x:c r="J16" s="55" t="str">
        <x:v>Vanilla ATM</x:v>
      </x:c>
    </x:row>
    <x:row r="17">
      <x:c r="A17" s="127"/>
      <x:c r="B17" s="127"/>
      <x:c r="C17" s="127"/>
      <x:c r="D17" s="127"/>
      <x:c r="E17" s="127"/>
      <x:c r="F17" s="127"/>
      <x:c r="G17" s="55" t="str">
        <x:v>Put vanilla</x:v>
      </x:c>
      <x:c r="H17" s="55" t="str">
        <x:v>Ke^{-rT}N(−d₂) − S₀e^{-qT}N(−d₁)</x:v>
      </x:c>
      <x:c r="I17" s="116" t="n">
        <x:f>C13*EXP(-C9*C12)*NORM.S.DIST(-I16,TRUE)-C6*EXP(-C8*C12)*NORM.S.DIST(-I15,TRUE)</x:f>
        <x:v>3.3469511519598747</x:v>
      </x:c>
      <x:c r="J17" s="55" t="str">
        <x:v>Prima vanilla</x:v>
      </x:c>
    </x:row>
    <x:row r="18">
      <x:c r="A18" s="127"/>
      <x:c r="B18" s="127"/>
      <x:c r="C18" s="127"/>
      <x:c r="D18" s="127"/>
      <x:c r="E18" s="127"/>
      <x:c r="F18" s="127"/>
      <x:c r="G18" s="55" t="str">
        <x:v>Diferencia</x:v>
      </x:c>
      <x:c r="H18" s="55" t="str">
        <x:v>Lookback − Vanilla</x:v>
      </x:c>
      <x:c r="I18" s="116" t="n">
        <x:f>I14-I17</x:f>
        <x:v>4.4432681079304785</x:v>
      </x:c>
      <x:c r="J18" s="55" t="str">
        <x:v>Debe ser positiva</x:v>
      </x:c>
    </x:row>
    <x:row r="19">
      <x:c r="A19" s="127"/>
      <x:c r="B19" s="127"/>
      <x:c r="C19" s="127"/>
      <x:c r="D19" s="127"/>
      <x:c r="E19" s="127"/>
      <x:c r="F19" s="127"/>
      <x:c r="G19" s="55" t="str">
        <x:v>Validación</x:v>
      </x:c>
      <x:c r="H19" s="55" t="str">
        <x:v>Floating lookback ≥ Vanilla ATM</x:v>
      </x:c>
      <x:c r="I19" s="74" t="str">
        <x:f>IF(I14&gt;=I17,"Se cumple","No se cumple")</x:f>
        <x:v>Se cumple</x:v>
      </x:c>
      <x:c r="J19" s="55" t="str">
        <x:v>Relación de orden</x:v>
      </x:c>
    </x:row>
    <x:row r="20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</x:row>
    <x:row r="2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27"/>
    </x:row>
    <x:row r="22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27"/>
    </x:row>
    <x:row r="23">
      <x:c r="A23" s="128" t="str">
        <x:v>Ejercicio 2 · Call floating lookback sobre índice con dividendos</x:v>
      </x:c>
      <x:c r="B23" s="128"/>
      <x:c r="C23" s="128"/>
      <x:c r="D23" s="128"/>
      <x:c r="E23" s="128"/>
      <x:c r="F23" s="128"/>
      <x:c r="G23" s="128"/>
      <x:c r="H23" s="128"/>
      <x:c r="I23" s="128"/>
      <x:c r="J23" s="128"/>
    </x:row>
    <x:row r="24">
      <x:c r="A24" s="127"/>
      <x:c r="B24" s="127"/>
      <x:c r="C24" s="127"/>
      <x:c r="D24" s="127"/>
      <x:c r="E24" s="127"/>
      <x:c r="F24" s="127"/>
      <x:c r="G24" s="127"/>
      <x:c r="H24" s="127"/>
      <x:c r="I24" s="127"/>
      <x:c r="J24" s="127"/>
    </x:row>
    <x:row r="25">
      <x:c r="A25" s="129" t="str">
        <x:v>Dato</x:v>
      </x:c>
      <x:c r="B25" s="129" t="str">
        <x:v>Símbolo</x:v>
      </x:c>
      <x:c r="C25" s="129" t="str">
        <x:v>Valor</x:v>
      </x:c>
      <x:c r="D25" s="129" t="str">
        <x:v>Unidad</x:v>
      </x:c>
      <x:c r="E25" s="129" t="str">
        <x:v>Fuente / nota</x:v>
      </x:c>
      <x:c r="F25" s="127"/>
      <x:c r="G25" s="129" t="str">
        <x:v>Concepto</x:v>
      </x:c>
      <x:c r="H25" s="129" t="str">
        <x:v>Fórmula / definición</x:v>
      </x:c>
      <x:c r="I25" s="129" t="str">
        <x:v>Valor</x:v>
      </x:c>
      <x:c r="J25" s="129" t="str">
        <x:v>Notas</x:v>
      </x:c>
    </x:row>
    <x:row r="26">
      <x:c r="A26" s="37" t="str">
        <x:v>Nivel spot actual</x:v>
      </x:c>
      <x:c r="B26" s="37" t="str">
        <x:v>S₀</x:v>
      </x:c>
      <x:c r="C26" s="120" t="n">
        <x:v>400</x:v>
      </x:c>
      <x:c r="D26" s="37" t="str">
        <x:v>índice</x:v>
      </x:c>
      <x:c r="E26" s="37" t="str">
        <x:v>Enunciado</x:v>
      </x:c>
      <x:c r="F26" s="127"/>
      <x:c r="G26" s="55" t="str">
        <x:v>τ</x:v>
      </x:c>
      <x:c r="H26" s="55" t="str">
        <x:v>Tiempo remanente</x:v>
      </x:c>
      <x:c r="I26" s="114" t="n">
        <x:f>C32</x:f>
        <x:v>0.75</x:v>
      </x:c>
      <x:c r="J26" s="55" t="str">
        <x:v>τ = T</x:v>
      </x:c>
    </x:row>
    <x:row r="27">
      <x:c r="A27" s="37" t="str">
        <x:v>Precio mínimo a la fecha</x:v>
      </x:c>
      <x:c r="B27" s="37" t="str">
        <x:v>S_min</x:v>
      </x:c>
      <x:c r="C27" s="120" t="n">
        <x:v>400</x:v>
      </x:c>
      <x:c r="D27" s="37" t="str">
        <x:v>índice</x:v>
      </x:c>
      <x:c r="E27" s="37" t="str">
        <x:v>Como se está emitiendo: S_min = S₀</x:v>
      </x:c>
      <x:c r="F27" s="127"/>
      <x:c r="G27" s="55" t="str">
        <x:v>λ</x:v>
      </x:c>
      <x:c r="H27" s="55" t="str">
        <x:v>σ² / [2(r−q)]</x:v>
      </x:c>
      <x:c r="I27" s="114" t="n">
        <x:f>C30^2/(2*(C29-C28))</x:f>
        <x:v>1.0000000000000004</x:v>
      </x:c>
      <x:c r="J27" s="55" t="str">
        <x:v>Factor de corrección lookback</x:v>
      </x:c>
    </x:row>
    <x:row r="28">
      <x:c r="A28" s="37" t="str">
        <x:v>Dividend yield</x:v>
      </x:c>
      <x:c r="B28" s="37" t="str">
        <x:v>q</x:v>
      </x:c>
      <x:c r="C28" s="108" t="n">
        <x:v>0.04</x:v>
      </x:c>
      <x:c r="D28" s="37" t="str">
        <x:v>% anual</x:v>
      </x:c>
      <x:c r="E28" s="37" t="str">
        <x:v>Enunciado</x:v>
      </x:c>
      <x:c r="F28" s="127"/>
      <x:c r="G28" s="55" t="str">
        <x:v>a₁</x:v>
      </x:c>
      <x:c r="H28" s="55" t="str">
        <x:v>[ln(S₀/Smin)+(r−q+σ²/2)τ]/(σ√τ)</x:v>
      </x:c>
      <x:c r="I28" s="114" t="n">
        <x:f>(LN(C26/C27)+(C29-C28+C30^2/2)*I26)/(C30*SQRT(I26))</x:f>
        <x:v>0.17320508075688773</x:v>
      </x:c>
      <x:c r="J28" s="55" t="str">
        <x:v>Parámetro del call lookback</x:v>
      </x:c>
    </x:row>
    <x:row r="29">
      <x:c r="A29" s="37" t="str">
        <x:v>Tasa libre de riesgo</x:v>
      </x:c>
      <x:c r="B29" s="37" t="str">
        <x:v>r</x:v>
      </x:c>
      <x:c r="C29" s="108" t="n">
        <x:v>0.06</x:v>
      </x:c>
      <x:c r="D29" s="37" t="str">
        <x:v>% anual</x:v>
      </x:c>
      <x:c r="E29" s="37" t="str">
        <x:v>Enunciado</x:v>
      </x:c>
      <x:c r="F29" s="127"/>
      <x:c r="G29" s="55" t="str">
        <x:v>a₂</x:v>
      </x:c>
      <x:c r="H29" s="55" t="str">
        <x:v>a₁ − σ√τ</x:v>
      </x:c>
      <x:c r="I29" s="114" t="n">
        <x:f>I28-C30*SQRT(I26)</x:f>
        <x:v>0</x:v>
      </x:c>
      <x:c r="J29" s="55" t="str">
        <x:v>Parámetro del call lookback</x:v>
      </x:c>
    </x:row>
    <x:row r="30">
      <x:c r="A30" s="37" t="str">
        <x:v>Volatilidad anual</x:v>
      </x:c>
      <x:c r="B30" s="37" t="str">
        <x:v>σ</x:v>
      </x:c>
      <x:c r="C30" s="108" t="n">
        <x:v>0.2</x:v>
      </x:c>
      <x:c r="D30" s="37" t="str">
        <x:v>% anual</x:v>
      </x:c>
      <x:c r="E30" s="37" t="str">
        <x:v>Enunciado</x:v>
      </x:c>
      <x:c r="F30" s="127"/>
      <x:c r="G30" s="55" t="str">
        <x:v>a₃</x:v>
      </x:c>
      <x:c r="H30" s="55" t="str">
        <x:v>[ln(S₀/Smin)+(−r+q+σ²/2)τ]/(σ√τ)</x:v>
      </x:c>
      <x:c r="I30" s="114" t="n">
        <x:f>(LN(C26/C27)+(-C29+C28+C30^2/2)*I26)/(C30*SQRT(I26))</x:f>
        <x:v>3.004629197474319e-17</x:v>
      </x:c>
      <x:c r="J30" s="55" t="str">
        <x:v>Parámetro del call lookback</x:v>
      </x:c>
    </x:row>
    <x:row r="31">
      <x:c r="A31" s="37" t="str">
        <x:v>Vencimiento</x:v>
      </x:c>
      <x:c r="B31" s="37" t="str">
        <x:v>meses</x:v>
      </x:c>
      <x:c r="C31" s="110" t="n">
        <x:v>9</x:v>
      </x:c>
      <x:c r="D31" s="37" t="str">
        <x:v>meses</x:v>
      </x:c>
      <x:c r="E31" s="37" t="str">
        <x:v>Enunciado</x:v>
      </x:c>
      <x:c r="F31" s="127"/>
      <x:c r="G31" s="55" t="str">
        <x:v>Y₁</x:v>
      </x:c>
      <x:c r="H31" s="55" t="str">
        <x:v>−2(r−q−σ²/2)ln(S₀/Smin)/σ²</x:v>
      </x:c>
      <x:c r="I31" s="114" t="n">
        <x:f>-2*(C29-C28-C30^2/2)*LN(C26/C27)/(C30^2)</x:f>
        <x:v>0</x:v>
      </x:c>
      <x:c r="J31" s="55" t="str">
        <x:v>Exponente lookback</x:v>
      </x:c>
    </x:row>
    <x:row r="32">
      <x:c r="A32" s="37" t="str">
        <x:v>Vencimiento</x:v>
      </x:c>
      <x:c r="B32" s="37" t="str">
        <x:v>T</x:v>
      </x:c>
      <x:c r="C32" s="112" t="n">
        <x:f>C31/12</x:f>
        <x:v>0.75</x:v>
      </x:c>
      <x:c r="D32" s="37" t="str">
        <x:v>años</x:v>
      </x:c>
      <x:c r="E32" s="37" t="str">
        <x:v>T = meses / 12</x:v>
      </x:c>
      <x:c r="F32" s="127"/>
      <x:c r="G32" s="55" t="str">
        <x:v>N(a₁)</x:v>
      </x:c>
      <x:c r="H32" s="55" t="str">
        <x:v>Normal estándar acumulada</x:v>
      </x:c>
      <x:c r="I32" s="114" t="n">
        <x:f>NORM.S.DIST(I28,TRUE)</x:f>
        <x:v>0.5687548849320392</x:v>
      </x:c>
      <x:c r="J32" s="55" t="str">
        <x:v>Chequeo intermedio</x:v>
      </x:c>
    </x:row>
    <x:row r="33">
      <x:c r="A33" s="37" t="str">
        <x:v>Strike vanilla</x:v>
      </x:c>
      <x:c r="B33" s="37" t="str">
        <x:v>K</x:v>
      </x:c>
      <x:c r="C33" s="112" t="n">
        <x:f>C26</x:f>
        <x:v>400</x:v>
      </x:c>
      <x:c r="D33" s="37" t="str">
        <x:v>índice</x:v>
      </x:c>
      <x:c r="E33" s="37" t="str">
        <x:v>Supuesto comparativo ATM: K = S₀</x:v>
      </x:c>
      <x:c r="F33" s="127"/>
      <x:c r="G33" s="55" t="str">
        <x:v>N(−a₃)</x:v>
      </x:c>
      <x:c r="H33" s="55" t="str">
        <x:v>Normal estándar acumulada</x:v>
      </x:c>
      <x:c r="I33" s="114" t="n">
        <x:f>NORM.S.DIST(-I30,TRUE)</x:f>
        <x:v>0.49999999999999994</x:v>
      </x:c>
      <x:c r="J33" s="55" t="str">
        <x:v>Chequeo intermedio</x:v>
      </x:c>
    </x:row>
    <x:row r="34">
      <x:c r="A34" s="127"/>
      <x:c r="B34" s="127"/>
      <x:c r="C34" s="127"/>
      <x:c r="D34" s="127"/>
      <x:c r="E34" s="127"/>
      <x:c r="F34" s="127"/>
      <x:c r="G34" s="55" t="str">
        <x:v>Call floating lookback</x:v>
      </x:c>
      <x:c r="H34" s="55" t="str">
        <x:v>S₀e^{-qτ}N(a₁) − S₀e^{-qτ}λN(−a₁) − Smin e^{-rτ}[N(a₂)−λe^{Y₁}N(−a₃)]</x:v>
      </x:c>
      <x:c r="I34" s="124" t="n">
        <x:f>C26*EXP(-C28*I26)*NORM.S.DIST(I28,TRUE)-C26*EXP(-C28*I26)*I27*NORM.S.DIST(-I28,TRUE)-C27*EXP(-C29*I26)*(NORM.S.DIST(I29,TRUE)-I27*EXP(I31)*NORM.S.DIST(-I30,TRUE))</x:f>
        <x:v>53.37829679355117</x:v>
      </x:c>
      <x:c r="J34" s="55" t="str">
        <x:v>Prima exótica</x:v>
      </x:c>
    </x:row>
    <x:row r="35">
      <x:c r="A35" s="127"/>
      <x:c r="B35" s="127"/>
      <x:c r="C35" s="127"/>
      <x:c r="D35" s="127"/>
      <x:c r="E35" s="127"/>
      <x:c r="F35" s="127"/>
      <x:c r="G35" s="55" t="str">
        <x:v>d₁ vanilla</x:v>
      </x:c>
      <x:c r="H35" s="55" t="str">
        <x:v>[ln(S₀/K)+(r−q+σ²/2)T]/(σ√T)</x:v>
      </x:c>
      <x:c r="I35" s="114" t="n">
        <x:f>(LN(C26/C33)+(C29-C28+C30^2/2)*C32)/(C30*SQRT(C32))</x:f>
        <x:v>0.17320508075688773</x:v>
      </x:c>
      <x:c r="J35" s="55" t="str">
        <x:v>Vanilla ATM</x:v>
      </x:c>
    </x:row>
    <x:row r="36">
      <x:c r="A36" s="127"/>
      <x:c r="B36" s="127"/>
      <x:c r="C36" s="127"/>
      <x:c r="D36" s="127"/>
      <x:c r="E36" s="127"/>
      <x:c r="F36" s="127"/>
      <x:c r="G36" s="55" t="str">
        <x:v>d₂ vanilla</x:v>
      </x:c>
      <x:c r="H36" s="55" t="str">
        <x:v>d₁ − σ√T</x:v>
      </x:c>
      <x:c r="I36" s="114" t="n">
        <x:f>I35-C30*SQRT(C32)</x:f>
        <x:v>0</x:v>
      </x:c>
      <x:c r="J36" s="55" t="str">
        <x:v>Vanilla ATM</x:v>
      </x:c>
    </x:row>
    <x:row r="37">
      <x:c r="A37" s="127"/>
      <x:c r="B37" s="127"/>
      <x:c r="C37" s="127"/>
      <x:c r="D37" s="127"/>
      <x:c r="E37" s="127"/>
      <x:c r="F37" s="127"/>
      <x:c r="G37" s="55" t="str">
        <x:v>Call vanilla</x:v>
      </x:c>
      <x:c r="H37" s="55" t="str">
        <x:v>S₀e^{-qT}N(d₁) − Ke^{-rT}N(d₂)</x:v>
      </x:c>
      <x:c r="I37" s="124" t="n">
        <x:f>C26*EXP(-C28*C32)*NORM.S.DIST(I35,TRUE)-C33*EXP(-C29*C32)*NORM.S.DIST(I36,TRUE)</x:f>
        <x:v>29.57875873985725</x:v>
      </x:c>
      <x:c r="J37" s="55" t="str">
        <x:v>Prima vanilla</x:v>
      </x:c>
    </x:row>
    <x:row r="38">
      <x:c r="A38" s="127"/>
      <x:c r="B38" s="127"/>
      <x:c r="C38" s="127"/>
      <x:c r="D38" s="127"/>
      <x:c r="E38" s="127"/>
      <x:c r="F38" s="127"/>
      <x:c r="G38" s="55" t="str">
        <x:v>Diferencia</x:v>
      </x:c>
      <x:c r="H38" s="55" t="str">
        <x:v>Lookback − Vanilla</x:v>
      </x:c>
      <x:c r="I38" s="124" t="n">
        <x:f>I34-I37</x:f>
        <x:v>23.799538053693922</x:v>
      </x:c>
      <x:c r="J38" s="55" t="str">
        <x:v>Debe ser positiva</x:v>
      </x:c>
    </x:row>
    <x:row r="39">
      <x:c r="A39" s="127"/>
      <x:c r="B39" s="127"/>
      <x:c r="C39" s="127"/>
      <x:c r="D39" s="127"/>
      <x:c r="E39" s="127"/>
      <x:c r="F39" s="127"/>
      <x:c r="G39" s="55" t="str">
        <x:v>Validación</x:v>
      </x:c>
      <x:c r="H39" s="55" t="str">
        <x:v>Floating lookback ≥ Vanilla ATM</x:v>
      </x:c>
      <x:c r="I39" s="74" t="str">
        <x:f>IF(I34&gt;=I37,"Se cumple","No se cumple")</x:f>
        <x:v>Se cumple</x:v>
      </x:c>
      <x:c r="J39" s="55" t="str">
        <x:v>Relación de orden</x:v>
      </x:c>
    </x:row>
    <x:row r="40">
      <x:c r="A40" s="127"/>
      <x:c r="B40" s="127"/>
      <x:c r="C40" s="127"/>
      <x:c r="D40" s="127"/>
      <x:c r="E40" s="127"/>
      <x:c r="F40" s="127"/>
      <x:c r="G40" s="127"/>
      <x:c r="H40" s="127"/>
      <x:c r="I40" s="127"/>
      <x:c r="J40" s="127"/>
    </x:row>
    <x:row r="41">
      <x:c r="A41" s="127"/>
      <x:c r="B41" s="127"/>
      <x:c r="C41" s="127"/>
      <x:c r="D41" s="127"/>
      <x:c r="E41" s="127"/>
      <x:c r="F41" s="127"/>
      <x:c r="G41" s="127"/>
      <x:c r="H41" s="127"/>
      <x:c r="I41" s="127"/>
      <x:c r="J41" s="127"/>
    </x:row>
    <x:row r="42">
      <x:c r="A42" s="130" t="str">
        <x:v>Comparación final y relación de orden</x:v>
      </x:c>
      <x:c r="B42" s="130"/>
      <x:c r="C42" s="130"/>
      <x:c r="D42" s="130"/>
      <x:c r="E42" s="130"/>
      <x:c r="F42" s="130"/>
      <x:c r="G42" s="130"/>
      <x:c r="H42" s="130"/>
      <x:c r="I42" s="130"/>
      <x:c r="J42" s="130"/>
    </x:row>
    <x:row r="43">
      <x:c r="A43" s="127"/>
      <x:c r="B43" s="127"/>
      <x:c r="C43" s="127"/>
      <x:c r="D43" s="127"/>
      <x:c r="E43" s="127"/>
      <x:c r="F43" s="127"/>
      <x:c r="G43" s="127"/>
      <x:c r="H43" s="127"/>
      <x:c r="I43" s="127"/>
      <x:c r="J43" s="127"/>
    </x:row>
    <x:row r="44">
      <x:c r="A44" s="129" t="str">
        <x:v>Caso</x:v>
      </x:c>
      <x:c r="B44" s="129" t="str">
        <x:v>Tipo</x:v>
      </x:c>
      <x:c r="C44" s="129" t="str">
        <x:v>Parámetros principales</x:v>
      </x:c>
      <x:c r="D44" s="129" t="str">
        <x:v>Floating lookback</x:v>
      </x:c>
      <x:c r="E44" s="129" t="str">
        <x:v>Vanilla ATM</x:v>
      </x:c>
      <x:c r="F44" s="129" t="str">
        <x:v>Diferencia</x:v>
      </x:c>
      <x:c r="G44" s="129" t="str">
        <x:v>Relación esperada</x:v>
      </x:c>
      <x:c r="H44" s="129" t="str">
        <x:v>Validación</x:v>
      </x:c>
      <x:c r="I44" s="129" t="str">
        <x:v>Conclusión</x:v>
      </x:c>
      <x:c r="J44" s="129" t="str">
        <x:v>Nota</x:v>
      </x:c>
    </x:row>
    <x:row r="45">
      <x:c r="A45" s="55" t="str">
        <x:v>1</x:v>
      </x:c>
      <x:c r="B45" s="55" t="str">
        <x:v>Put</x:v>
      </x:c>
      <x:c r="C45" s="55" t="str">
        <x:v>S₀=50, q=0%, r=10%, σ=40%, T=3m</x:v>
      </x:c>
      <x:c r="D45" s="118" t="n">
        <x:f>I14</x:f>
        <x:v>7.790219259890353</x:v>
      </x:c>
      <x:c r="E45" s="118" t="n">
        <x:f>I17</x:f>
        <x:v>3.3469511519598747</x:v>
      </x:c>
      <x:c r="F45" s="118" t="n">
        <x:f>I18</x:f>
        <x:v>4.4432681079304785</x:v>
      </x:c>
      <x:c r="G45" s="55" t="str">
        <x:v>Lookback ≥ Vanilla</x:v>
      </x:c>
      <x:c r="H45" s="89" t="str">
        <x:f>IF(D45&gt;=E45,"Se cumple","No se cumple")</x:f>
        <x:v>Se cumple</x:v>
      </x:c>
      <x:c r="I45" s="55" t="str">
        <x:f>IF(D45&gt;=E45,"La put floating lookback vale más que la put vanilla ATM.","Revisar supuestos o fórmula.")</x:f>
        <x:v>La put floating lookback vale más que la put vanilla ATM.</x:v>
      </x:c>
      <x:c r="J45" s="55" t="str">
        <x:v>Smax=S₀ al emitirse</x:v>
      </x:c>
    </x:row>
    <x:row r="46">
      <x:c r="A46" s="55" t="str">
        <x:v>2</x:v>
      </x:c>
      <x:c r="B46" s="55" t="str">
        <x:v>Call</x:v>
      </x:c>
      <x:c r="C46" s="55" t="str">
        <x:v>S₀=400, q=4%, r=6%, σ=20%, T=9m</x:v>
      </x:c>
      <x:c r="D46" s="122" t="n">
        <x:f>I34</x:f>
        <x:v>53.37829679355117</x:v>
      </x:c>
      <x:c r="E46" s="122" t="n">
        <x:f>I37</x:f>
        <x:v>29.57875873985725</x:v>
      </x:c>
      <x:c r="F46" s="122" t="n">
        <x:f>I38</x:f>
        <x:v>23.799538053693922</x:v>
      </x:c>
      <x:c r="G46" s="55" t="str">
        <x:v>Lookback ≥ Vanilla</x:v>
      </x:c>
      <x:c r="H46" s="89" t="str">
        <x:f>IF(D46&gt;=E46,"Se cumple","No se cumple")</x:f>
        <x:v>Se cumple</x:v>
      </x:c>
      <x:c r="I46" s="55" t="str">
        <x:f>IF(D46&gt;=E46,"La call floating lookback vale más que la call vanilla ATM.","Revisar supuestos o fórmula.")</x:f>
        <x:v>La call floating lookback vale más que la call vanilla ATM.</x:v>
      </x:c>
      <x:c r="J46" s="55" t="str">
        <x:v>Smin=S₀ al emitirse</x:v>
      </x:c>
    </x:row>
    <x:row r="47">
      <x:c r="A47" s="127"/>
      <x:c r="B47" s="127"/>
      <x:c r="C47" s="127"/>
      <x:c r="D47" s="127"/>
      <x:c r="E47" s="127"/>
      <x:c r="F47" s="127"/>
      <x:c r="G47" s="127"/>
      <x:c r="H47" s="127"/>
      <x:c r="I47" s="127"/>
      <x:c r="J47" s="127"/>
    </x:row>
    <x:row r="48">
      <x:c r="A48" s="127"/>
      <x:c r="B48" s="127"/>
      <x:c r="C48" s="127"/>
      <x:c r="D48" s="127"/>
      <x:c r="E48" s="127"/>
      <x:c r="F48" s="127"/>
      <x:c r="G48" s="127"/>
      <x:c r="H48" s="127"/>
      <x:c r="I48" s="127"/>
      <x:c r="J48" s="127"/>
    </x:row>
    <x:row r="49">
      <x:c r="A49" s="131" t="str">
        <x:v>Notas metodológicas</x:v>
      </x:c>
      <x:c r="B49" s="131"/>
      <x:c r="C49" s="131"/>
      <x:c r="D49" s="131"/>
      <x:c r="E49" s="131"/>
      <x:c r="F49" s="131"/>
      <x:c r="G49" s="131"/>
      <x:c r="H49" s="131"/>
      <x:c r="I49" s="131"/>
      <x:c r="J49" s="131"/>
    </x:row>
    <x:row r="50">
      <x:c r="A50" s="99" t="str">
        <x:v>1</x:v>
      </x:c>
      <x:c r="B50" s="99" t="str">
        <x:v>Modelo continuo de lookback floating bajo movimiento geométrico browniano con dividend yield continuo q.</x:v>
      </x:c>
      <x:c r="C50" s="127"/>
      <x:c r="D50" s="127"/>
      <x:c r="E50" s="127"/>
      <x:c r="F50" s="127"/>
      <x:c r="G50" s="127"/>
      <x:c r="H50" s="127"/>
      <x:c r="I50" s="127"/>
      <x:c r="J50" s="127"/>
    </x:row>
    <x:row r="51">
      <x:c r="A51" s="99" t="str">
        <x:v>2</x:v>
      </x:c>
      <x:c r="B51" s="99" t="str">
        <x:v>Como las opciones se emiten hoy, se usa Smax=S₀ para la put y Smin=S₀ para la call.</x:v>
      </x:c>
      <x:c r="C51" s="127"/>
      <x:c r="D51" s="127"/>
      <x:c r="E51" s="127"/>
      <x:c r="F51" s="127"/>
      <x:c r="G51" s="127"/>
      <x:c r="H51" s="127"/>
      <x:c r="I51" s="127"/>
      <x:c r="J51" s="127"/>
    </x:row>
    <x:row r="52">
      <x:c r="A52" s="99" t="str">
        <x:v>3</x:v>
      </x:c>
      <x:c r="B52" s="99" t="str">
        <x:v>La comparación vanilla usa strike ATM K=S₀ porque el enunciado no especifica strike.</x:v>
      </x:c>
      <x:c r="C52" s="127"/>
      <x:c r="D52" s="127"/>
      <x:c r="E52" s="127"/>
      <x:c r="F52" s="127"/>
      <x:c r="G52" s="127"/>
      <x:c r="H52" s="127"/>
      <x:c r="I52" s="127"/>
      <x:c r="J52" s="127"/>
    </x:row>
    <x:row r="53">
      <x:c r="A53" s="99" t="str">
        <x:v>4</x:v>
      </x:c>
      <x:c r="B53" s="99" t="str">
        <x:v>Relación esperada: floating lookback ≥ vanilla ATM, porque el lookback usa el extremo favorable de la trayectoria.</x:v>
      </x:c>
      <x:c r="C53" s="127"/>
      <x:c r="D53" s="127"/>
      <x:c r="E53" s="127"/>
      <x:c r="F53" s="127"/>
      <x:c r="G53" s="127"/>
      <x:c r="H53" s="127"/>
      <x:c r="I53" s="127"/>
      <x:c r="J53" s="127"/>
    </x:row>
  </x:sheetData>
  <x:mergeCells>
    <x:mergeCell ref="A1:J1"/>
    <x:mergeCell ref="A3:J3"/>
    <x:mergeCell ref="A23:J23"/>
    <x:mergeCell ref="A42:J42"/>
    <x:mergeCell ref="A49:J49"/>
  </x:mergeCells>
  <x:pageMargins left="0.7" right="0.7" top="0.75" bottom="0.75" header="0.3" footer="0.3"/>
</x:worksheet>
</file>