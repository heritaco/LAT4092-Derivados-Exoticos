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5745c9876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-on-call" sheetId="1" r:id="Re26ce78ebf4b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"/>
    <x:numFmt numFmtId="202" formatCode="0"/>
    <x:numFmt numFmtId="203" formatCode="#,##0.0000;[Red](#,##0.0000);-"/>
    <x:numFmt numFmtId="204" formatCode="$#,##0.0000;[Red]($#,##0.0000);-"/>
    <x:numFmt numFmtId="205" formatCode="#,##0.000000;[Red](#,##0.000000);-"/>
    <x:numFmt numFmtId="206" formatCode="0.000000"/>
  </x:numFmts>
  <x:fonts count="1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  <x:font>
      <x:b/>
      <x:sz val="11"/>
      <x:color rgb="166534"/>
      <x:name val="Carlito"/>
    </x:font>
    <x:font>
      <x:i/>
      <x:sz val="11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  <x:font>
      <x:i/>
      <x:sz val="10"/>
      <x:name val="Aptos"/>
    </x:font>
    <x:font>
      <x:sz val="10"/>
      <x:color rgb="0000FF"/>
      <x:name val="Aptos"/>
    </x:font>
    <x:font>
      <x:b/>
      <x:sz val="10"/>
      <x:color rgb="166534"/>
      <x:name val="Aptos"/>
    </x:font>
    <x:font>
      <x:b/>
      <x:sz val="16"/>
      <x:color rgb="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B1F3A"/>
      </x:patternFill>
    </x:fill>
    <x:fill>
      <x:patternFill patternType="solid">
        <x:fgColor rgb="E5E7EB"/>
      </x:patternFill>
    </x:fill>
    <x:fill>
      <x:patternFill patternType="solid">
        <x:fgColor rgb="FFF2CC"/>
      </x:patternFill>
    </x:fill>
    <x:fill>
      <x:patternFill patternType="solid">
        <x:fgColor rgb="DCFCE7"/>
      </x:patternFill>
    </x:fill>
    <x:fill>
      <x:patternFill patternType="solid">
        <x:fgColor rgb="111827"/>
      </x:patternFill>
    </x:fill>
    <x:fill>
      <x:patternFill patternType="solid">
        <x:fgColor rgb="14532D"/>
      </x:patternFill>
    </x:fill>
    <x:fill>
      <x:patternFill patternType="solid">
        <x:fgColor rgb="E2F0D9"/>
      </x:patternFill>
    </x:fill>
    <x:fill>
      <x:patternFill patternType="solid">
        <x:fgColor rgb="78350F"/>
      </x:patternFill>
    </x:fill>
    <x:fill>
      <x:patternFill patternType="solid">
        <x:fgColor rgb="FEF3C7"/>
      </x:patternFill>
    </x:fill>
    <x:fill>
      <x:patternFill patternType="solid">
        <x:fgColor rgb="FCE4D6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203" fontId="8" fillId="0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202" fontId="8" fillId="0" borderId="0" xfId="0" applyNumberFormat="1" applyFont="1" applyFill="1" applyBorder="1"/>
    <x:xf numFmtId="206" fontId="8" fillId="0" borderId="0" xfId="0" applyNumberFormat="1" applyFont="1" applyFill="1" applyBorder="1"/>
    <x:xf numFmtId="200" fontId="11" fillId="5" borderId="0" xfId="0" applyNumberFormat="1" applyFont="1" applyFill="1" applyBorder="1"/>
    <x:xf numFmtId="201" fontId="11" fillId="5" borderId="0" xfId="0" applyNumberFormat="1" applyFont="1" applyFill="1" applyBorder="1"/>
    <x:xf numFmtId="202" fontId="11" fillId="5" borderId="0" xfId="0" applyNumberFormat="1" applyFont="1" applyFill="1" applyBorder="1"/>
    <x:xf numFmtId="204" fontId="8" fillId="0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/>
    </x:xf>
    <x:xf numFmtId="205" fontId="8" fillId="0" borderId="0" xfId="0" applyNumberFormat="1" applyFont="1" applyFill="1" applyBorder="1"/>
    <x:xf numFmtId="0" fontId="7" fillId="13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10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/>
    </x:xf>
    <x:xf numFmtId="0" fontId="10" fillId="11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/>
    <x:xf numFmtId="203" fontId="8" fillId="0" borderId="1" xfId="0" applyNumberFormat="1" applyFont="1" applyFill="1" applyBorder="1"/>
    <x:xf numFmtId="0" fontId="9" fillId="12" borderId="1" xfId="0" applyNumberFormat="1" applyFont="1" applyFill="1" applyBorder="1" applyAlignment="1">
      <x:alignment horizontal="center"/>
    </x:xf>
    <x:xf numFmtId="202" fontId="8" fillId="0" borderId="1" xfId="0" applyNumberFormat="1" applyFont="1" applyFill="1" applyBorder="1"/>
    <x:xf numFmtId="206" fontId="8" fillId="0" borderId="1" xfId="0" applyNumberFormat="1" applyFont="1" applyFill="1" applyBorder="1"/>
    <x:xf numFmtId="200" fontId="11" fillId="5" borderId="1" xfId="0" applyNumberFormat="1" applyFont="1" applyFill="1" applyBorder="1"/>
    <x:xf numFmtId="201" fontId="11" fillId="5" borderId="1" xfId="0" applyNumberFormat="1" applyFont="1" applyFill="1" applyBorder="1"/>
    <x:xf numFmtId="202" fontId="11" fillId="5" borderId="1" xfId="0" applyNumberFormat="1" applyFont="1" applyFill="1" applyBorder="1"/>
    <x:xf numFmtId="204" fontId="8" fillId="0" borderId="1" xfId="0" applyNumberFormat="1" applyFont="1" applyFill="1" applyBorder="1"/>
    <x:xf numFmtId="0" fontId="12" fillId="6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center"/>
    </x:xf>
    <x:xf numFmtId="205" fontId="8" fillId="0" borderId="1" xfId="0" applyNumberFormat="1" applyFont="1" applyFill="1" applyBorder="1"/>
    <x:xf numFmtId="0" fontId="7" fillId="13" borderId="1" xfId="0" applyNumberFormat="1" applyFont="1" applyFill="1" applyBorder="1"/>
    <x:xf numFmtId="0" fontId="13" fillId="2" borderId="0" xfId="0" applyNumberFormat="1" applyFont="1" applyFill="1" applyBorder="1" applyAlignment="1">
      <x:alignment horizontal="center" vertical="center"/>
    </x:xf>
    <x:xf numFmtId="0" fontId="13" fillId="2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3bec092144004" /><Relationship Type="http://schemas.openxmlformats.org/officeDocument/2006/relationships/theme" Target="/xl/theme/theme1.xml" Id="Rce627a454ede4e2e" /><Relationship Type="http://schemas.openxmlformats.org/officeDocument/2006/relationships/sharedStrings" Target="/xl/sharedStrings.xml" Id="Re012b03584224e15" /><Relationship Type="http://schemas.openxmlformats.org/officeDocument/2006/relationships/worksheet" Target="/xl/worksheets/sheet1.xml" Id="Re26ce78ebf4b44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38" hidden="0" customWidth="1"/>
    <x:col min="5" max="5" width="2" hidden="0" customWidth="1"/>
    <x:col min="6" max="6" width="26" hidden="0" customWidth="1"/>
    <x:col min="7" max="7" width="50" hidden="0" customWidth="1"/>
    <x:col min="8" max="8" width="18" hidden="0" customWidth="1"/>
    <x:col min="9" max="9" width="2" hidden="0" customWidth="1"/>
    <x:col min="10" max="10" width="2" hidden="0" customWidth="1"/>
    <x:col min="11" max="11" width="2" hidden="0" customWidth="1"/>
    <x:col min="12" max="12" width="8" hidden="0" customWidth="1"/>
    <x:col min="13" max="13" width="14" hidden="0" customWidth="1"/>
    <x:col min="14" max="14" width="9" hidden="0" customWidth="1"/>
    <x:col min="15" max="15" width="16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</x:cols>
  <x:sheetData>
    <x:row r="1" ht="30" customHeight="1">
      <x:c r="A1" s="134" t="str">
        <x:v>Opción compuesta call-on-call — valuación con fórmula cerrada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91"/>
      <x:c r="L1" s="91"/>
      <x:c r="M1" s="91"/>
      <x:c r="N1" s="91"/>
      <x:c r="O1" s="91"/>
      <x:c r="P1" s="91"/>
      <x:c r="Q1" s="91"/>
      <x:c r="R1" s="91"/>
      <x:c r="S1" s="91"/>
    </x:row>
    <x:row r="2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</x:row>
    <x:row r="3">
      <x:c r="A3" s="92" t="str">
        <x:v>Inputs del enunciado</x:v>
      </x:c>
      <x:c r="B3" s="92"/>
      <x:c r="C3" s="92"/>
      <x:c r="D3" s="92"/>
      <x:c r="E3" s="91"/>
      <x:c r="F3" s="92" t="str">
        <x:v>Resultados principales</x:v>
      </x:c>
      <x:c r="G3" s="92"/>
      <x:c r="H3" s="92"/>
      <x:c r="I3" s="92"/>
      <x:c r="J3" s="92"/>
      <x:c r="K3" s="91"/>
      <x:c r="L3" s="93" t="str">
        <x:v>Integración auxiliar para M(a,b;ρ) — regla de Simpson</x:v>
      </x:c>
      <x:c r="M3" s="93"/>
      <x:c r="N3" s="93"/>
      <x:c r="O3" s="93"/>
      <x:c r="P3" s="93"/>
      <x:c r="Q3" s="93"/>
      <x:c r="R3" s="93"/>
      <x:c r="S3" s="93"/>
    </x:row>
    <x:row r="4">
      <x:c r="A4" s="94" t="str">
        <x:v>Dato</x:v>
      </x:c>
      <x:c r="B4" s="94" t="str">
        <x:v>Símbolo</x:v>
      </x:c>
      <x:c r="C4" s="94" t="str">
        <x:v>Valor</x:v>
      </x:c>
      <x:c r="D4" s="94" t="str">
        <x:v>Fuente / nota</x:v>
      </x:c>
      <x:c r="E4" s="91"/>
      <x:c r="F4" s="94" t="str">
        <x:v>Magnitud</x:v>
      </x:c>
      <x:c r="G4" s="94" t="str">
        <x:v>Fórmula / descripción</x:v>
      </x:c>
      <x:c r="H4" s="94" t="str">
        <x:v>Valor</x:v>
      </x:c>
      <x:c r="I4" s="91"/>
      <x:c r="J4" s="91"/>
      <x:c r="K4" s="91"/>
      <x:c r="L4" s="95" t="str">
        <x:v>Identidad: Φ₂(a,b;ρ)=∫_{−∞}^{a} φ(x)N((b−ρx)/√(1−ρ²))dx; aquí −∞ se aproxima con L = −8.</x:v>
      </x:c>
      <x:c r="M4" s="95" t="str"/>
      <x:c r="N4" s="95" t="str"/>
      <x:c r="O4" s="95" t="str"/>
      <x:c r="P4" s="95" t="str"/>
      <x:c r="Q4" s="95" t="str"/>
      <x:c r="R4" s="95" t="str"/>
      <x:c r="S4" s="95" t="str"/>
    </x:row>
    <x:row r="5">
      <x:c r="A5" s="91" t="str">
        <x:v>Precio actual del índice</x:v>
      </x:c>
      <x:c r="B5" s="91" t="str">
        <x:v>S0</x:v>
      </x:c>
      <x:c r="C5" s="96" t="n">
        <x:v>500</x:v>
      </x:c>
      <x:c r="D5" s="91" t="str">
        <x:v>Enunciado</x:v>
      </x:c>
      <x:c r="E5" s="91"/>
      <x:c r="F5" s="91" t="str">
        <x:v>S*</x:v>
      </x:c>
      <x:c r="G5" s="91" t="str">
        <x:v>Raíz de C_BSM(S*,K2,T2−T1)=K1</x:v>
      </x:c>
      <x:c r="H5" s="110" t="n">
        <x:f>D92</x:f>
        <x:v>538.316502644353</x:v>
      </x:c>
      <x:c r="I5" s="91"/>
      <x:c r="J5" s="91"/>
      <x:c r="K5" s="91"/>
      <x:c r="L5" s="98" t="str">
        <x:v>i</x:v>
      </x:c>
      <x:c r="M5" s="98" t="str">
        <x:v>x para M1</x:v>
      </x:c>
      <x:c r="N5" s="98" t="str">
        <x:v>peso</x:v>
      </x:c>
      <x:c r="O5" s="98" t="str">
        <x:v>integrando M1</x:v>
      </x:c>
      <x:c r="P5" s="98" t="str">
        <x:v>término M1</x:v>
      </x:c>
      <x:c r="Q5" s="98" t="str">
        <x:v>x para M2</x:v>
      </x:c>
      <x:c r="R5" s="98" t="str">
        <x:v>integrando M2</x:v>
      </x:c>
      <x:c r="S5" s="98" t="str">
        <x:v>término M2</x:v>
      </x:c>
    </x:row>
    <x:row r="6">
      <x:c r="A6" s="91" t="str">
        <x:v>Strike de la opción compuesta</x:v>
      </x:c>
      <x:c r="B6" s="91" t="str">
        <x:v>K1</x:v>
      </x:c>
      <x:c r="C6" s="96" t="n">
        <x:v>50</x:v>
      </x:c>
      <x:c r="D6" s="91" t="str">
        <x:v>Derecho a comprar el call por USD 50</x:v>
      </x:c>
      <x:c r="E6" s="91"/>
      <x:c r="F6" s="91" t="str">
        <x:v>τ = T2−T1</x:v>
      </x:c>
      <x:c r="G6" s="91" t="str">
        <x:v>Tiempo remanente del call subyacente en T1</x:v>
      </x:c>
      <x:c r="H6" s="110" t="n">
        <x:f>C12-C11</x:f>
        <x:v>0.25</x:v>
      </x:c>
      <x:c r="I6" s="91"/>
      <x:c r="J6" s="91"/>
      <x:c r="K6" s="91"/>
      <x:c r="L6" s="99" t="n">
        <x:f>0</x:f>
        <x:v>0</x:v>
      </x:c>
      <x:c r="M6" s="100" t="n">
        <x:f>$C$14+(($H$8-$C$14)/$C$13)*L6</x:f>
        <x:v>-8</x:v>
      </x:c>
      <x:c r="N6" s="100" t="n">
        <x:f>IF(OR(L6=0,L6=$C$13),1,IF(MOD(L6,2)=0,2,4))</x:f>
        <x:v>1</x:v>
      </x:c>
      <x:c r="O6" s="100" t="n">
        <x:f>NORM.S.DIST(M6,FALSE)*NORM.S.DIST(($H$10-$H$7*M6)/SQRT(1-$H$7^2),TRUE)</x:f>
        <x:v>5.052271083536885e-15</x:v>
      </x:c>
      <x:c r="P6" s="100" t="n">
        <x:f>N6*O6</x:f>
        <x:v>5.052271083536885e-15</x:v>
      </x:c>
      <x:c r="Q6" s="100" t="n">
        <x:f>$C$14+(($H$9-$C$14)/$C$13)*L6</x:f>
        <x:v>-8</x:v>
      </x:c>
      <x:c r="R6" s="100" t="n">
        <x:f>NORM.S.DIST(Q6,FALSE)*NORM.S.DIST(($H$11-$H$7*Q6)/SQRT(1-$H$7^2),TRUE)</x:f>
        <x:v>5.052271083536861e-15</x:v>
      </x:c>
      <x:c r="S6" s="100" t="n">
        <x:f>N6*R6</x:f>
        <x:v>5.052271083536861e-15</x:v>
      </x:c>
    </x:row>
    <x:row r="7">
      <x:c r="A7" s="91" t="str">
        <x:v>Strike del call subyacente</x:v>
      </x:c>
      <x:c r="B7" s="91" t="str">
        <x:v>K2</x:v>
      </x:c>
      <x:c r="C7" s="96" t="n">
        <x:v>520</x:v>
      </x:c>
      <x:c r="D7" s="91" t="str">
        <x:v>Enunciado</x:v>
      </x:c>
      <x:c r="E7" s="91"/>
      <x:c r="F7" s="91" t="str">
        <x:v>ρ</x:v>
      </x:c>
      <x:c r="G7" s="91" t="str">
        <x:v>Correlación = √(T1/T2)</x:v>
      </x:c>
      <x:c r="H7" s="110" t="n">
        <x:f>SQRT(C11/C12)</x:f>
        <x:v>0.7071067811865476</x:v>
      </x:c>
      <x:c r="I7" s="91"/>
      <x:c r="J7" s="91"/>
      <x:c r="K7" s="91"/>
      <x:c r="L7" s="99" t="n">
        <x:f>1</x:f>
        <x:v>1</x:v>
      </x:c>
      <x:c r="M7" s="100" t="n">
        <x:f>$C$14+(($H$8-$C$14)/$C$13)*L7</x:f>
        <x:v>-7.980657515480571</x:v>
      </x:c>
      <x:c r="N7" s="100" t="n">
        <x:f>IF(OR(L7=0,L7=$C$13),1,IF(MOD(L7,2)=0,2,4))</x:f>
        <x:v>4</x:v>
      </x:c>
      <x:c r="O7" s="100" t="n">
        <x:f>NORM.S.DIST(M7,FALSE)*NORM.S.DIST(($H$10-$H$7*M7)/SQRT(1-$H$7^2),TRUE)</x:f>
        <x:v>5.8966870249680745e-15</x:v>
      </x:c>
      <x:c r="P7" s="100" t="n">
        <x:f>N7*O7</x:f>
        <x:v>2.3586748099872298e-14</x:v>
      </x:c>
      <x:c r="Q7" s="100" t="n">
        <x:f>$C$14+(($H$9-$C$14)/$C$13)*L7</x:f>
        <x:v>-7.981095015480571</x:v>
      </x:c>
      <x:c r="R7" s="100" t="n">
        <x:f>NORM.S.DIST(Q7,FALSE)*NORM.S.DIST(($H$11-$H$7*Q7)/SQRT(1-$H$7^2),TRUE)</x:f>
        <x:v>5.876133858743552e-15</x:v>
      </x:c>
      <x:c r="S7" s="100" t="n">
        <x:f>N7*R7</x:f>
        <x:v>2.3504535434974207e-14</x:v>
      </x:c>
    </x:row>
    <x:row r="8">
      <x:c r="A8" s="91" t="str">
        <x:v>Tasa libre de riesgo</x:v>
      </x:c>
      <x:c r="B8" s="91" t="str">
        <x:v>r</x:v>
      </x:c>
      <x:c r="C8" s="101" t="n">
        <x:v>0.08</x:v>
      </x:c>
      <x:c r="D8" s="91" t="str">
        <x:v>Anual, continua</x:v>
      </x:c>
      <x:c r="E8" s="91"/>
      <x:c r="F8" s="91" t="str">
        <x:v>a1</x:v>
      </x:c>
      <x:c r="G8" s="91" t="str">
        <x:v>Parámetro del umbral S*</x:v>
      </x:c>
      <x:c r="H8" s="110" t="n">
        <x:f>(LN(C5/H5)+(C8-C9+0.5*C10^2)*C11)/(C10*SQRT(C11))</x:f>
        <x:v>-0.2630061922284485</x:v>
      </x:c>
      <x:c r="I8" s="91"/>
      <x:c r="J8" s="91"/>
      <x:c r="K8" s="91"/>
      <x:c r="L8" s="99" t="n">
        <x:f>2</x:f>
        <x:v>2</x:v>
      </x:c>
      <x:c r="M8" s="100" t="n">
        <x:f>$C$14+(($H$8-$C$14)/$C$13)*L8</x:f>
        <x:v>-7.961315030961142</x:v>
      </x:c>
      <x:c r="N8" s="100" t="n">
        <x:f>IF(OR(L8=0,L8=$C$13),1,IF(MOD(L8,2)=0,2,4))</x:f>
        <x:v>2</x:v>
      </x:c>
      <x:c r="O8" s="100" t="n">
        <x:f>NORM.S.DIST(M8,FALSE)*NORM.S.DIST(($H$10-$H$7*M8)/SQRT(1-$H$7^2),TRUE)</x:f>
        <x:v>6.879660815120393e-15</x:v>
      </x:c>
      <x:c r="P8" s="100" t="n">
        <x:f>N8*O8</x:f>
        <x:v>1.3759321630240786e-14</x:v>
      </x:c>
      <x:c r="Q8" s="100" t="n">
        <x:f>$C$14+(($H$9-$C$14)/$C$13)*L8</x:f>
        <x:v>-7.962190030961143</x:v>
      </x:c>
      <x:c r="R8" s="100" t="n">
        <x:f>NORM.S.DIST(Q8,FALSE)*NORM.S.DIST(($H$11-$H$7*Q8)/SQRT(1-$H$7^2),TRUE)</x:f>
        <x:v>6.831899984701335e-15</x:v>
      </x:c>
      <x:c r="S8" s="100" t="n">
        <x:f>N8*R8</x:f>
        <x:v>1.366379996940267e-14</x:v>
      </x:c>
    </x:row>
    <x:row r="9">
      <x:c r="A9" s="91" t="str">
        <x:v>Dividendos continuos</x:v>
      </x:c>
      <x:c r="B9" s="91" t="str">
        <x:v>q</x:v>
      </x:c>
      <x:c r="C9" s="101" t="n">
        <x:v>0.03</x:v>
      </x:c>
      <x:c r="D9" s="91" t="str">
        <x:v>Anual, continua</x:v>
      </x:c>
      <x:c r="E9" s="91"/>
      <x:c r="F9" s="91" t="str">
        <x:v>a2</x:v>
      </x:c>
      <x:c r="G9" s="91" t="str">
        <x:v>a1 − σ√T1</x:v>
      </x:c>
      <x:c r="H9" s="110" t="n">
        <x:f>H8-C10*SQRT(C11)</x:f>
        <x:v>-0.4380061922284485</x:v>
      </x:c>
      <x:c r="I9" s="91"/>
      <x:c r="J9" s="91"/>
      <x:c r="K9" s="91"/>
      <x:c r="L9" s="99" t="n">
        <x:f>3</x:f>
        <x:v>3</x:v>
      </x:c>
      <x:c r="M9" s="100" t="n">
        <x:f>$C$14+(($H$8-$C$14)/$C$13)*L9</x:f>
        <x:v>-7.941972546441713</x:v>
      </x:c>
      <x:c r="N9" s="100" t="n">
        <x:f>IF(OR(L9=0,L9=$C$13),1,IF(MOD(L9,2)=0,2,4))</x:f>
        <x:v>4</x:v>
      </x:c>
      <x:c r="O9" s="100" t="n">
        <x:f>NORM.S.DIST(M9,FALSE)*NORM.S.DIST(($H$10-$H$7*M9)/SQRT(1-$H$7^2),TRUE)</x:f>
        <x:v>8.023493274960271e-15</x:v>
      </x:c>
      <x:c r="P9" s="100" t="n">
        <x:f>N9*O9</x:f>
        <x:v>3.2093973099841085e-14</x:v>
      </x:c>
      <x:c r="Q9" s="100" t="n">
        <x:f>$C$14+(($H$9-$C$14)/$C$13)*L9</x:f>
        <x:v>-7.943285046441713</x:v>
      </x:c>
      <x:c r="R9" s="100" t="n">
        <x:f>NORM.S.DIST(Q9,FALSE)*NORM.S.DIST(($H$11-$H$7*Q9)/SQRT(1-$H$7^2),TRUE)</x:f>
        <x:v>7.94028522528437e-15</x:v>
      </x:c>
      <x:c r="S9" s="100" t="n">
        <x:f>N9*R9</x:f>
        <x:v>3.176114090113748e-14</x:v>
      </x:c>
    </x:row>
    <x:row r="10">
      <x:c r="A10" s="91" t="str">
        <x:v>Volatilidad anual</x:v>
      </x:c>
      <x:c r="B10" s="91" t="str">
        <x:v>σ</x:v>
      </x:c>
      <x:c r="C10" s="101" t="n">
        <x:v>0.35</x:v>
      </x:c>
      <x:c r="D10" s="91" t="str">
        <x:v>Enunciado</x:v>
      </x:c>
      <x:c r="E10" s="91"/>
      <x:c r="F10" s="91" t="str">
        <x:v>b1</x:v>
      </x:c>
      <x:c r="G10" s="91" t="str">
        <x:v>Parámetro del call subyacente</x:v>
      </x:c>
      <x:c r="H10" s="110" t="n">
        <x:f>(LN(C5/C7)+(C8-C9+0.5*C10^2)*C12)/(C10*SQRT(C12))</x:f>
        <x:v>0.06628332839910914</x:v>
      </x:c>
      <x:c r="I10" s="91"/>
      <x:c r="J10" s="91"/>
      <x:c r="K10" s="91"/>
      <x:c r="L10" s="99" t="n">
        <x:f>4</x:f>
        <x:v>4</x:v>
      </x:c>
      <x:c r="M10" s="100" t="n">
        <x:f>$C$14+(($H$8-$C$14)/$C$13)*L10</x:f>
        <x:v>-7.922630061922285</x:v>
      </x:c>
      <x:c r="N10" s="100" t="n">
        <x:f>IF(OR(L10=0,L10=$C$13),1,IF(MOD(L10,2)=0,2,4))</x:f>
        <x:v>2</x:v>
      </x:c>
      <x:c r="O10" s="100" t="n">
        <x:f>NORM.S.DIST(M10,FALSE)*NORM.S.DIST(($H$10-$H$7*M10)/SQRT(1-$H$7^2),TRUE)</x:f>
        <x:v>9.354002369976151e-15</x:v>
      </x:c>
      <x:c r="P10" s="100" t="n">
        <x:f>N10*O10</x:f>
        <x:v>1.8708004739952302e-14</x:v>
      </x:c>
      <x:c r="Q10" s="100" t="n">
        <x:f>$C$14+(($H$9-$C$14)/$C$13)*L10</x:f>
        <x:v>-7.924380061922284</x:v>
      </x:c>
      <x:c r="R10" s="100" t="n">
        <x:f>NORM.S.DIST(Q10,FALSE)*NORM.S.DIST(($H$11-$H$7*Q10)/SQRT(1-$H$7^2),TRUE)</x:f>
        <x:v>9.225193624484101e-15</x:v>
      </x:c>
      <x:c r="S10" s="100" t="n">
        <x:f>N10*R10</x:f>
        <x:v>1.8450387248968202e-14</x:v>
      </x:c>
    </x:row>
    <x:row r="11">
      <x:c r="A11" s="91" t="str">
        <x:v>Vencimiento opción compuesta</x:v>
      </x:c>
      <x:c r="B11" s="91" t="str">
        <x:v>T1</x:v>
      </x:c>
      <x:c r="C11" s="102" t="n">
        <x:v>0.25</x:v>
      </x:c>
      <x:c r="D11" s="91" t="str">
        <x:v>3 meses = 0.25 años</x:v>
      </x:c>
      <x:c r="E11" s="91"/>
      <x:c r="F11" s="91" t="str">
        <x:v>b2</x:v>
      </x:c>
      <x:c r="G11" s="91" t="str">
        <x:v>b1 − σ√T2</x:v>
      </x:c>
      <x:c r="H11" s="110" t="n">
        <x:f>H10-C10*SQRT(C12)</x:f>
        <x:v>-0.1812040450161825</x:v>
      </x:c>
      <x:c r="I11" s="91"/>
      <x:c r="J11" s="91"/>
      <x:c r="K11" s="91"/>
      <x:c r="L11" s="99" t="n">
        <x:f>5</x:f>
        <x:v>5</x:v>
      </x:c>
      <x:c r="M11" s="100" t="n">
        <x:f>$C$14+(($H$8-$C$14)/$C$13)*L11</x:f>
        <x:v>-7.903287577402856</x:v>
      </x:c>
      <x:c r="N11" s="100" t="n">
        <x:f>IF(OR(L11=0,L11=$C$13),1,IF(MOD(L11,2)=0,2,4))</x:f>
        <x:v>4</x:v>
      </x:c>
      <x:c r="O11" s="100" t="n">
        <x:f>NORM.S.DIST(M11,FALSE)*NORM.S.DIST(($H$10-$H$7*M11)/SQRT(1-$H$7^2),TRUE)</x:f>
        <x:v>1.0901066147410236e-14</x:v>
      </x:c>
      <x:c r="P11" s="100" t="n">
        <x:f>N11*O11</x:f>
        <x:v>4.3604264589640944e-14</x:v>
      </x:c>
      <x:c r="Q11" s="100" t="n">
        <x:f>$C$14+(($H$9-$C$14)/$C$13)*L11</x:f>
        <x:v>-7.905475077402856</x:v>
      </x:c>
      <x:c r="R11" s="100" t="n">
        <x:f>NORM.S.DIST(Q11,FALSE)*NORM.S.DIST(($H$11-$H$7*Q11)/SQRT(1-$H$7^2),TRUE)</x:f>
        <x:v>1.0714197830783592e-14</x:v>
      </x:c>
      <x:c r="S11" s="100" t="n">
        <x:f>N11*R11</x:f>
        <x:v>4.285679132313437e-14</x:v>
      </x:c>
    </x:row>
    <x:row r="12">
      <x:c r="A12" s="91" t="str">
        <x:v>Vencimiento call subyacente</x:v>
      </x:c>
      <x:c r="B12" s="91" t="str">
        <x:v>T2</x:v>
      </x:c>
      <x:c r="C12" s="102" t="n">
        <x:v>0.5</x:v>
      </x:c>
      <x:c r="D12" s="91" t="str">
        <x:v>6 meses = 0.50 años</x:v>
      </x:c>
      <x:c r="E12" s="91"/>
      <x:c r="F12" s="91" t="str">
        <x:v>M(a1,b1;ρ)</x:v>
      </x:c>
      <x:c r="G12" s="91" t="str">
        <x:v>Normal bivariada acumulada</x:v>
      </x:c>
      <x:c r="H12" s="110" t="n">
        <x:f>((H8-C14)/C13)/3*SUM(P6:P406)</x:f>
        <x:v>0.32681325894049257</x:v>
      </x:c>
      <x:c r="I12" s="91"/>
      <x:c r="J12" s="91"/>
      <x:c r="K12" s="91"/>
      <x:c r="L12" s="99" t="n">
        <x:f>6</x:f>
        <x:v>6</x:v>
      </x:c>
      <x:c r="M12" s="100" t="n">
        <x:f>$C$14+(($H$8-$C$14)/$C$13)*L12</x:f>
        <x:v>-7.883945092883427</x:v>
      </x:c>
      <x:c r="N12" s="100" t="n">
        <x:f>IF(OR(L12=0,L12=$C$13),1,IF(MOD(L12,2)=0,2,4))</x:f>
        <x:v>2</x:v>
      </x:c>
      <x:c r="O12" s="100" t="n">
        <x:f>NORM.S.DIST(M12,FALSE)*NORM.S.DIST(($H$10-$H$7*M12)/SQRT(1-$H$7^2),TRUE)</x:f>
        <x:v>1.2699247603690662e-14</x:v>
      </x:c>
      <x:c r="P12" s="100" t="n">
        <x:f>N12*O12</x:f>
        <x:v>2.5398495207381325e-14</x:v>
      </x:c>
      <x:c r="Q12" s="100" t="n">
        <x:f>$C$14+(($H$9-$C$14)/$C$13)*L12</x:f>
        <x:v>-7.886570092883427</x:v>
      </x:c>
      <x:c r="R12" s="100" t="n">
        <x:f>NORM.S.DIST(Q12,FALSE)*NORM.S.DIST(($H$11-$H$7*Q12)/SQRT(1-$H$7^2),TRUE)</x:f>
        <x:v>1.2439090164374952e-14</x:v>
      </x:c>
      <x:c r="S12" s="100" t="n">
        <x:f>N12*R12</x:f>
        <x:v>2.4878180328749903e-14</x:v>
      </x:c>
    </x:row>
    <x:row r="13">
      <x:c r="A13" s="91" t="str">
        <x:v>N para Simpson</x:v>
      </x:c>
      <x:c r="B13" s="91" t="str">
        <x:v>N</x:v>
      </x:c>
      <x:c r="C13" s="103" t="n">
        <x:v>400</x:v>
      </x:c>
      <x:c r="D13" s="91" t="str">
        <x:v>Debe ser par</x:v>
      </x:c>
      <x:c r="E13" s="91"/>
      <x:c r="F13" s="91" t="str">
        <x:v>M(a2,b2;ρ)</x:v>
      </x:c>
      <x:c r="G13" s="91" t="str">
        <x:v>Normal bivariada acumulada</x:v>
      </x:c>
      <x:c r="H13" s="110" t="n">
        <x:f>((H9-C14)/C13)/3*SUM(S6:S406)</x:f>
        <x:v>0.2545425990376606</x:v>
      </x:c>
      <x:c r="I13" s="91"/>
      <x:c r="J13" s="91"/>
      <x:c r="K13" s="91"/>
      <x:c r="L13" s="99" t="n">
        <x:f>7</x:f>
        <x:v>7</x:v>
      </x:c>
      <x:c r="M13" s="100" t="n">
        <x:f>$C$14+(($H$8-$C$14)/$C$13)*L13</x:f>
        <x:v>-7.864602608363998</x:v>
      </x:c>
      <x:c r="N13" s="100" t="n">
        <x:f>IF(OR(L13=0,L13=$C$13),1,IF(MOD(L13,2)=0,2,4))</x:f>
        <x:v>4</x:v>
      </x:c>
      <x:c r="O13" s="100" t="n">
        <x:f>NORM.S.DIST(M13,FALSE)*NORM.S.DIST(($H$10-$H$7*M13)/SQRT(1-$H$7^2),TRUE)</x:f>
        <x:v>1.47885135501474e-14</x:v>
      </x:c>
      <x:c r="P13" s="100" t="n">
        <x:f>N13*O13</x:f>
        <x:v>5.91540542005896e-14</x:v>
      </x:c>
      <x:c r="Q13" s="100" t="n">
        <x:f>$C$14+(($H$9-$C$14)/$C$13)*L13</x:f>
        <x:v>-7.8676651083639975</x:v>
      </x:c>
      <x:c r="R13" s="100" t="n">
        <x:f>NORM.S.DIST(Q13,FALSE)*NORM.S.DIST(($H$11-$H$7*Q13)/SQRT(1-$H$7^2),TRUE)</x:f>
        <x:v>1.443651459831139e-14</x:v>
      </x:c>
      <x:c r="S13" s="100" t="n">
        <x:f>N13*R13</x:f>
        <x:v>5.774605839324555e-14</x:v>
      </x:c>
    </x:row>
    <x:row r="14">
      <x:c r="A14" s="91" t="str">
        <x:v>Límite inferior integración</x:v>
      </x:c>
      <x:c r="B14" s="91" t="str">
        <x:v>L</x:v>
      </x:c>
      <x:c r="C14" s="103" t="n">
        <x:v>-8</x:v>
      </x:c>
      <x:c r="D14" s="91" t="str">
        <x:v>Truncamiento de -∞</x:v>
      </x:c>
      <x:c r="E14" s="91"/>
      <x:c r="F14" s="91" t="str">
        <x:v>N(a2)</x:v>
      </x:c>
      <x:c r="G14" s="91" t="str">
        <x:v>Normal estándar acumulada</x:v>
      </x:c>
      <x:c r="H14" s="110" t="n">
        <x:f>NORM.S.DIST(H9,TRUE)</x:f>
        <x:v>0.33069089732586265</x:v>
      </x:c>
      <x:c r="I14" s="91"/>
      <x:c r="J14" s="91"/>
      <x:c r="K14" s="91"/>
      <x:c r="L14" s="99" t="n">
        <x:f>8</x:f>
        <x:v>8</x:v>
      </x:c>
      <x:c r="M14" s="100" t="n">
        <x:f>$C$14+(($H$8-$C$14)/$C$13)*L14</x:f>
        <x:v>-7.845260123844569</x:v>
      </x:c>
      <x:c r="N14" s="100" t="n">
        <x:f>IF(OR(L14=0,L14=$C$13),1,IF(MOD(L14,2)=0,2,4))</x:f>
        <x:v>2</x:v>
      </x:c>
      <x:c r="O14" s="100" t="n">
        <x:f>NORM.S.DIST(M14,FALSE)*NORM.S.DIST(($H$10-$H$7*M14)/SQRT(1-$H$7^2),TRUE)</x:f>
        <x:v>1.7215061277291885e-14</x:v>
      </x:c>
      <x:c r="P14" s="100" t="n">
        <x:f>N14*O14</x:f>
        <x:v>3.443012255458377e-14</x:v>
      </x:c>
      <x:c r="Q14" s="100" t="n">
        <x:f>$C$14+(($H$9-$C$14)/$C$13)*L14</x:f>
        <x:v>-7.848760123844569</x:v>
      </x:c>
      <x:c r="R14" s="100" t="n">
        <x:f>NORM.S.DIST(Q14,FALSE)*NORM.S.DIST(($H$11-$H$7*Q14)/SQRT(1-$H$7^2),TRUE)</x:f>
        <x:v>1.6748691249826118e-14</x:v>
      </x:c>
      <x:c r="S14" s="100" t="n">
        <x:f>N14*R14</x:f>
        <x:v>3.3497382499652236e-14</x:v>
      </x:c>
    </x:row>
    <x:row r="15">
      <x:c r="A15" s="91" t="str">
        <x:v>Cota alta para S*</x:v>
      </x:c>
      <x:c r="B15" s="91" t="str">
        <x:v>U0</x:v>
      </x:c>
      <x:c r="C15" s="103" t="n">
        <x:v>2000</x:v>
      </x:c>
      <x:c r="D15" s="91" t="str">
        <x:v>Cota inicial de bisección</x:v>
      </x:c>
      <x:c r="E15" s="91"/>
      <x:c r="F15" s="91" t="str">
        <x:v>Call-on-call</x:v>
      </x:c>
      <x:c r="G15" s="91" t="str">
        <x:v>Prima de la opción compuesta</x:v>
      </x:c>
      <x:c r="H15" s="104" t="n">
        <x:f>C5*EXP(-C9*C12)*H12-C7*EXP(-C8*C12)*H13-C6*EXP(-C8*C11)*H14</x:f>
        <x:v>17.594525455482067</x:v>
      </x:c>
      <x:c r="I15" s="91"/>
      <x:c r="J15" s="91"/>
      <x:c r="K15" s="91"/>
      <x:c r="L15" s="99" t="n">
        <x:f>9</x:f>
        <x:v>9</x:v>
      </x:c>
      <x:c r="M15" s="100" t="n">
        <x:f>$C$14+(($H$8-$C$14)/$C$13)*L15</x:f>
        <x:v>-7.82591763932514</x:v>
      </x:c>
      <x:c r="N15" s="100" t="n">
        <x:f>IF(OR(L15=0,L15=$C$13),1,IF(MOD(L15,2)=0,2,4))</x:f>
        <x:v>4</x:v>
      </x:c>
      <x:c r="O15" s="100" t="n">
        <x:f>NORM.S.DIST(M15,FALSE)*NORM.S.DIST(($H$10-$H$7*M15)/SQRT(1-$H$7^2),TRUE)</x:f>
        <x:v>2.0032268791943306e-14</x:v>
      </x:c>
      <x:c r="P15" s="100" t="n">
        <x:f>N15*O15</x:f>
        <x:v>8.012907516777322e-14</x:v>
      </x:c>
      <x:c r="Q15" s="100" t="n">
        <x:f>$C$14+(($H$9-$C$14)/$C$13)*L15</x:f>
        <x:v>-7.82985513932514</x:v>
      </x:c>
      <x:c r="R15" s="100" t="n">
        <x:f>NORM.S.DIST(Q15,FALSE)*NORM.S.DIST(($H$11-$H$7*Q15)/SQRT(1-$H$7^2),TRUE)</x:f>
        <x:v>1.942424659741799e-14</x:v>
      </x:c>
      <x:c r="S15" s="100" t="n">
        <x:f>N15*R15</x:f>
        <x:v>7.769698638967195e-14</x:v>
      </x:c>
    </x:row>
    <x:row r="16">
      <x:c r="A16" s="91"/>
      <x:c r="B16" s="91"/>
      <x:c r="C16" s="91"/>
      <x:c r="D16" s="91"/>
      <x:c r="E16" s="91"/>
      <x:c r="F16" s="91" t="str">
        <x:v>Call vanilla subyacente hoy</x:v>
      </x:c>
      <x:c r="G16" s="91" t="str">
        <x:v>Referencia: C_BSM(S0,K2,T2)</x:v>
      </x:c>
      <x:c r="H16" s="104" t="n">
        <x:f>C5*EXP(-C9*C12)*NORM.S.DIST(H10,TRUE)-C7*EXP(-C8*C12)*NORM.S.DIST(H11,TRUE)</x:f>
        <x:v>45.40810868076912</x:v>
      </x:c>
      <x:c r="I16" s="91"/>
      <x:c r="J16" s="91"/>
      <x:c r="K16" s="91"/>
      <x:c r="L16" s="99" t="n">
        <x:f>10</x:f>
        <x:v>10</x:v>
      </x:c>
      <x:c r="M16" s="100" t="n">
        <x:f>$C$14+(($H$8-$C$14)/$C$13)*L16</x:f>
        <x:v>-7.806575154805711</x:v>
      </x:c>
      <x:c r="N16" s="100" t="n">
        <x:f>IF(OR(L16=0,L16=$C$13),1,IF(MOD(L16,2)=0,2,4))</x:f>
        <x:v>2</x:v>
      </x:c>
      <x:c r="O16" s="100" t="n">
        <x:f>NORM.S.DIST(M16,FALSE)*NORM.S.DIST(($H$10-$H$7*M16)/SQRT(1-$H$7^2),TRUE)</x:f>
        <x:v>2.3301786650040107e-14</x:v>
      </x:c>
      <x:c r="P16" s="100" t="n">
        <x:f>N16*O16</x:f>
        <x:v>4.6603573300080213e-14</x:v>
      </x:c>
      <x:c r="Q16" s="100" t="n">
        <x:f>$C$14+(($H$9-$C$14)/$C$13)*L16</x:f>
        <x:v>-7.810950154805711</x:v>
      </x:c>
      <x:c r="R16" s="100" t="n">
        <x:f>NORM.S.DIST(Q16,FALSE)*NORM.S.DIST(($H$11-$H$7*Q16)/SQRT(1-$H$7^2),TRUE)</x:f>
        <x:v>2.2519164478568366e-14</x:v>
      </x:c>
      <x:c r="S16" s="100" t="n">
        <x:f>N16*R16</x:f>
        <x:v>4.503832895713673e-14</x:v>
      </x:c>
    </x:row>
    <x:row r="17">
      <x:c r="A17" s="91"/>
      <x:c r="B17" s="91"/>
      <x:c r="C17" s="91"/>
      <x:c r="D17" s="91"/>
      <x:c r="E17" s="91"/>
      <x:c r="F17" s="91" t="str">
        <x:v>Validación</x:v>
      </x:c>
      <x:c r="G17" s="91" t="str">
        <x:v>Debe cumplirse: call-on-call &lt; call vanilla</x:v>
      </x:c>
      <x:c r="H17" s="105" t="str">
        <x:f>IF(H15&lt;H16,"Se cumple","Revisar")</x:f>
        <x:v>Se cumple</x:v>
      </x:c>
      <x:c r="I17" s="91"/>
      <x:c r="J17" s="91"/>
      <x:c r="K17" s="91"/>
      <x:c r="L17" s="99" t="n">
        <x:f>11</x:f>
        <x:v>11</x:v>
      </x:c>
      <x:c r="M17" s="100" t="n">
        <x:f>$C$14+(($H$8-$C$14)/$C$13)*L17</x:f>
        <x:v>-7.787232670286282</x:v>
      </x:c>
      <x:c r="N17" s="100" t="n">
        <x:f>IF(OR(L17=0,L17=$C$13),1,IF(MOD(L17,2)=0,2,4))</x:f>
        <x:v>4</x:v>
      </x:c>
      <x:c r="O17" s="100" t="n">
        <x:f>NORM.S.DIST(M17,FALSE)*NORM.S.DIST(($H$10-$H$7*M17)/SQRT(1-$H$7^2),TRUE)</x:f>
        <x:v>2.7094791968123147e-14</x:v>
      </x:c>
      <x:c r="P17" s="100" t="n">
        <x:f>N17*O17</x:f>
        <x:v>1.0837916787249259e-13</x:v>
      </x:c>
      <x:c r="Q17" s="100" t="n">
        <x:f>$C$14+(($H$9-$C$14)/$C$13)*L17</x:f>
        <x:v>-7.792045170286283</x:v>
      </x:c>
      <x:c r="R17" s="100" t="n">
        <x:f>NORM.S.DIST(Q17,FALSE)*NORM.S.DIST(($H$11-$H$7*Q17)/SQRT(1-$H$7^2),TRUE)</x:f>
        <x:v>2.6097875011106298e-14</x:v>
      </x:c>
      <x:c r="S17" s="100" t="n">
        <x:f>N17*R17</x:f>
        <x:v>1.0439150004442519e-13</x:v>
      </x:c>
    </x:row>
    <x:row r="18">
      <x:c r="A18" s="106" t="str">
        <x:v>Fórmulas usadas</x:v>
      </x:c>
      <x:c r="B18" s="106"/>
      <x:c r="C18" s="106"/>
      <x:c r="D18" s="106"/>
      <x:c r="E18" s="106"/>
      <x:c r="F18" s="106"/>
      <x:c r="G18" s="106"/>
      <x:c r="H18" s="106"/>
      <x:c r="I18" s="106"/>
      <x:c r="J18" s="106"/>
      <x:c r="K18" s="91"/>
      <x:c r="L18" s="99" t="n">
        <x:f>12</x:f>
        <x:v>12</x:v>
      </x:c>
      <x:c r="M18" s="100" t="n">
        <x:f>$C$14+(($H$8-$C$14)/$C$13)*L18</x:f>
        <x:v>-7.767890185766854</x:v>
      </x:c>
      <x:c r="N18" s="100" t="n">
        <x:f>IF(OR(L18=0,L18=$C$13),1,IF(MOD(L18,2)=0,2,4))</x:f>
        <x:v>2</x:v>
      </x:c>
      <x:c r="O18" s="100" t="n">
        <x:f>NORM.S.DIST(M18,FALSE)*NORM.S.DIST(($H$10-$H$7*M18)/SQRT(1-$H$7^2),TRUE)</x:f>
        <x:v>3.1493428110096206e-14</x:v>
      </x:c>
      <x:c r="P18" s="100" t="n">
        <x:f>N18*O18</x:f>
        <x:v>6.298685622019241e-14</x:v>
      </x:c>
      <x:c r="Q18" s="100" t="n">
        <x:f>$C$14+(($H$9-$C$14)/$C$13)*L18</x:f>
        <x:v>-7.773140185766853</x:v>
      </x:c>
      <x:c r="R18" s="100" t="n">
        <x:f>NORM.S.DIST(Q18,FALSE)*NORM.S.DIST(($H$11-$H$7*Q18)/SQRT(1-$H$7^2),TRUE)</x:f>
        <x:v>3.023450095092405e-14</x:v>
      </x:c>
      <x:c r="S18" s="100" t="n">
        <x:f>N18*R18</x:f>
        <x:v>6.04690019018481e-14</x:v>
      </x:c>
    </x:row>
    <x:row r="19">
      <x:c r="A19" s="136" t="str">
        <x:v>Paso</x:v>
      </x:c>
      <x:c r="B19" s="136" t="str">
        <x:v>Expresión</x:v>
      </x:c>
      <x:c r="C19" s="136" t="str">
        <x:v>Implementación en Excel</x:v>
      </x:c>
      <x:c r="D19" s="91"/>
      <x:c r="E19" s="91"/>
      <x:c r="F19" s="91"/>
      <x:c r="G19" s="91"/>
      <x:c r="H19" s="91"/>
      <x:c r="I19" s="91"/>
      <x:c r="J19" s="91"/>
      <x:c r="K19" s="91"/>
      <x:c r="L19" s="99" t="n">
        <x:f>13</x:f>
        <x:v>13</x:v>
      </x:c>
      <x:c r="M19" s="100" t="n">
        <x:f>$C$14+(($H$8-$C$14)/$C$13)*L19</x:f>
        <x:v>-7.748547701247425</x:v>
      </x:c>
      <x:c r="N19" s="100" t="n">
        <x:f>IF(OR(L19=0,L19=$C$13),1,IF(MOD(L19,2)=0,2,4))</x:f>
        <x:v>4</x:v>
      </x:c>
      <x:c r="O19" s="100" t="n">
        <x:f>NORM.S.DIST(M19,FALSE)*NORM.S.DIST(($H$10-$H$7*M19)/SQRT(1-$H$7^2),TRUE)</x:f>
        <x:v>3.659245686027345e-14</x:v>
      </x:c>
      <x:c r="P19" s="100" t="n">
        <x:f>N19*O19</x:f>
        <x:v>1.463698274410938e-13</x:v>
      </x:c>
      <x:c r="Q19" s="100" t="n">
        <x:f>$C$14+(($H$9-$C$14)/$C$13)*L19</x:f>
        <x:v>-7.7542352012474245</x:v>
      </x:c>
      <x:c r="R19" s="100" t="n">
        <x:f>NORM.S.DIST(Q19,FALSE)*NORM.S.DIST(($H$11-$H$7*Q19)/SQRT(1-$H$7^2),TRUE)</x:f>
        <x:v>3.5014283686779394e-14</x:v>
      </x:c>
      <x:c r="S19" s="100" t="n">
        <x:f>N19*R19</x:f>
        <x:v>1.4005713474711758e-13</x:v>
      </x:c>
    </x:row>
    <x:row r="20" ht="32" customHeight="1">
      <x:c r="A20" s="107" t="str">
        <x:v>1</x:v>
      </x:c>
      <x:c r="B20" s="107" t="str">
        <x:v>S* resuelve C_BSM(S*,K2,T2−T1)=K1</x:v>
      </x:c>
      <x:c r="C20" s="107" t="str">
        <x:v>Bisección en A31:F92</x:v>
      </x:c>
      <x:c r="D20" s="91"/>
      <x:c r="E20" s="91"/>
      <x:c r="F20" s="91"/>
      <x:c r="G20" s="91"/>
      <x:c r="H20" s="91"/>
      <x:c r="I20" s="91"/>
      <x:c r="J20" s="91"/>
      <x:c r="K20" s="91"/>
      <x:c r="L20" s="99" t="n">
        <x:f>14</x:f>
        <x:v>14</x:v>
      </x:c>
      <x:c r="M20" s="100" t="n">
        <x:f>$C$14+(($H$8-$C$14)/$C$13)*L20</x:f>
        <x:v>-7.729205216727996</x:v>
      </x:c>
      <x:c r="N20" s="100" t="n">
        <x:f>IF(OR(L20=0,L20=$C$13),1,IF(MOD(L20,2)=0,2,4))</x:f>
        <x:v>2</x:v>
      </x:c>
      <x:c r="O20" s="100" t="n">
        <x:f>NORM.S.DIST(M20,FALSE)*NORM.S.DIST(($H$10-$H$7*M20)/SQRT(1-$H$7^2),TRUE)</x:f>
        <x:v>4.250115366234803e-14</x:v>
      </x:c>
      <x:c r="P20" s="100" t="n">
        <x:f>N20*O20</x:f>
        <x:v>8.500230732469606e-14</x:v>
      </x:c>
      <x:c r="Q20" s="100" t="n">
        <x:f>$C$14+(($H$9-$C$14)/$C$13)*L20</x:f>
        <x:v>-7.735330216727996</x:v>
      </x:c>
      <x:c r="R20" s="100" t="n">
        <x:f>NORM.S.DIST(Q20,FALSE)*NORM.S.DIST(($H$11-$H$7*Q20)/SQRT(1-$H$7^2),TRUE)</x:f>
        <x:v>4.053521412077329e-14</x:v>
      </x:c>
      <x:c r="S20" s="100" t="n">
        <x:f>N20*R20</x:f>
        <x:v>8.107042824154658e-14</x:v>
      </x:c>
    </x:row>
    <x:row r="21" ht="32" customHeight="1">
      <x:c r="A21" s="107" t="str">
        <x:v>2</x:v>
      </x:c>
      <x:c r="B21" s="107" t="str">
        <x:v>ρ=√(T1/T2)</x:v>
      </x:c>
      <x:c r="C21" s="107" t="str">
        <x:v>=SQRT(T1/T2)</x:v>
      </x:c>
      <x:c r="D21" s="91"/>
      <x:c r="E21" s="91"/>
      <x:c r="F21" s="91"/>
      <x:c r="G21" s="91"/>
      <x:c r="H21" s="91"/>
      <x:c r="I21" s="91"/>
      <x:c r="J21" s="91"/>
      <x:c r="K21" s="91"/>
      <x:c r="L21" s="99" t="n">
        <x:f>15</x:f>
        <x:v>15</x:v>
      </x:c>
      <x:c r="M21" s="100" t="n">
        <x:f>$C$14+(($H$8-$C$14)/$C$13)*L21</x:f>
        <x:v>-7.709862732208567</x:v>
      </x:c>
      <x:c r="N21" s="100" t="n">
        <x:f>IF(OR(L21=0,L21=$C$13),1,IF(MOD(L21,2)=0,2,4))</x:f>
        <x:v>4</x:v>
      </x:c>
      <x:c r="O21" s="100" t="n">
        <x:f>NORM.S.DIST(M21,FALSE)*NORM.S.DIST(($H$10-$H$7*M21)/SQRT(1-$H$7^2),TRUE)</x:f>
        <x:v>4.934548078709742e-14</x:v>
      </x:c>
      <x:c r="P21" s="100" t="n">
        <x:f>N21*O21</x:f>
        <x:v>1.9738192314838969e-13</x:v>
      </x:c>
      <x:c r="Q21" s="100" t="n">
        <x:f>$C$14+(($H$9-$C$14)/$C$13)*L21</x:f>
        <x:v>-7.716425232208567</x:v>
      </x:c>
      <x:c r="R21" s="100" t="n">
        <x:f>NORM.S.DIST(Q21,FALSE)*NORM.S.DIST(($H$11-$H$7*Q21)/SQRT(1-$H$7^2),TRUE)</x:f>
        <x:v>4.690989713741669e-14</x:v>
      </x:c>
      <x:c r="S21" s="100" t="n">
        <x:f>N21*R21</x:f>
        <x:v>1.8763958854966676e-13</x:v>
      </x:c>
    </x:row>
    <x:row r="22" ht="32" customHeight="1">
      <x:c r="A22" s="107" t="str">
        <x:v>3</x:v>
      </x:c>
      <x:c r="B22" s="107" t="str">
        <x:v>a1=[ln(S0/S*)+(r−q+σ²/2)T1]/(σ√T1)</x:v>
      </x:c>
      <x:c r="C22" s="107" t="str">
        <x:v>Celda H8</x:v>
      </x:c>
      <x:c r="D22" s="91"/>
      <x:c r="E22" s="91"/>
      <x:c r="F22" s="91"/>
      <x:c r="G22" s="91"/>
      <x:c r="H22" s="91"/>
      <x:c r="I22" s="91"/>
      <x:c r="J22" s="91"/>
      <x:c r="K22" s="91"/>
      <x:c r="L22" s="99" t="n">
        <x:f>16</x:f>
        <x:v>16</x:v>
      </x:c>
      <x:c r="M22" s="100" t="n">
        <x:f>$C$14+(($H$8-$C$14)/$C$13)*L22</x:f>
        <x:v>-7.690520247689138</x:v>
      </x:c>
      <x:c r="N22" s="100" t="n">
        <x:f>IF(OR(L22=0,L22=$C$13),1,IF(MOD(L22,2)=0,2,4))</x:f>
        <x:v>2</x:v>
      </x:c>
      <x:c r="O22" s="100" t="n">
        <x:f>NORM.S.DIST(M22,FALSE)*NORM.S.DIST(($H$10-$H$7*M22)/SQRT(1-$H$7^2),TRUE)</x:f>
        <x:v>5.727057815742436e-14</x:v>
      </x:c>
      <x:c r="P22" s="100" t="n">
        <x:f>N22*O22</x:f>
        <x:v>1.1454115631484873e-13</x:v>
      </x:c>
      <x:c r="Q22" s="100" t="n">
        <x:f>$C$14+(($H$9-$C$14)/$C$13)*L22</x:f>
        <x:v>-7.697520247689138</x:v>
      </x:c>
      <x:c r="R22" s="100" t="n">
        <x:f>NORM.S.DIST(Q22,FALSE)*NORM.S.DIST(($H$11-$H$7*Q22)/SQRT(1-$H$7^2),TRUE)</x:f>
        <x:v>5.4267682277569973e-14</x:v>
      </x:c>
      <x:c r="S22" s="100" t="n">
        <x:f>N22*R22</x:f>
        <x:v>1.0853536455513995e-13</x:v>
      </x:c>
    </x:row>
    <x:row r="23" ht="32" customHeight="1">
      <x:c r="A23" s="107" t="str">
        <x:v>4</x:v>
      </x:c>
      <x:c r="B23" s="107" t="str">
        <x:v>a2=a1−σ√T1</x:v>
      </x:c>
      <x:c r="C23" s="107" t="str">
        <x:v>Celda H9</x:v>
      </x:c>
      <x:c r="D23" s="91"/>
      <x:c r="E23" s="91"/>
      <x:c r="F23" s="91"/>
      <x:c r="G23" s="91"/>
      <x:c r="H23" s="91"/>
      <x:c r="I23" s="91"/>
      <x:c r="J23" s="91"/>
      <x:c r="K23" s="91"/>
      <x:c r="L23" s="99" t="n">
        <x:f>17</x:f>
        <x:v>17</x:v>
      </x:c>
      <x:c r="M23" s="100" t="n">
        <x:f>$C$14+(($H$8-$C$14)/$C$13)*L23</x:f>
        <x:v>-7.671177763169709</x:v>
      </x:c>
      <x:c r="N23" s="100" t="n">
        <x:f>IF(OR(L23=0,L23=$C$13),1,IF(MOD(L23,2)=0,2,4))</x:f>
        <x:v>4</x:v>
      </x:c>
      <x:c r="O23" s="100" t="n">
        <x:f>NORM.S.DIST(M23,FALSE)*NORM.S.DIST(($H$10-$H$7*M23)/SQRT(1-$H$7^2),TRUE)</x:f>
        <x:v>6.644361708449532e-14</x:v>
      </x:c>
      <x:c r="P23" s="100" t="n">
        <x:f>N23*O23</x:f>
        <x:v>2.657744683379813e-13</x:v>
      </x:c>
      <x:c r="Q23" s="100" t="n">
        <x:f>$C$14+(($H$9-$C$14)/$C$13)*L23</x:f>
        <x:v>-7.678615263169709</x:v>
      </x:c>
      <x:c r="R23" s="100" t="n">
        <x:f>NORM.S.DIST(Q23,FALSE)*NORM.S.DIST(($H$11-$H$7*Q23)/SQRT(1-$H$7^2),TRUE)</x:f>
        <x:v>6.275709766499533e-14</x:v>
      </x:c>
      <x:c r="S23" s="100" t="n">
        <x:f>N23*R23</x:f>
        <x:v>2.510283906599813e-13</x:v>
      </x:c>
    </x:row>
    <x:row r="24" ht="32" customHeight="1">
      <x:c r="A24" s="107" t="str">
        <x:v>5</x:v>
      </x:c>
      <x:c r="B24" s="107" t="str">
        <x:v>b1=[ln(S0/K2)+(r−q+σ²/2)T2]/(σ√T2)</x:v>
      </x:c>
      <x:c r="C24" s="107" t="str">
        <x:v>Celda H10</x:v>
      </x:c>
      <x:c r="D24" s="91"/>
      <x:c r="E24" s="91"/>
      <x:c r="F24" s="91"/>
      <x:c r="G24" s="91"/>
      <x:c r="H24" s="91"/>
      <x:c r="I24" s="91"/>
      <x:c r="J24" s="91"/>
      <x:c r="K24" s="91"/>
      <x:c r="L24" s="99" t="n">
        <x:f>18</x:f>
        <x:v>18</x:v>
      </x:c>
      <x:c r="M24" s="100" t="n">
        <x:f>$C$14+(($H$8-$C$14)/$C$13)*L24</x:f>
        <x:v>-7.65183527865028</x:v>
      </x:c>
      <x:c r="N24" s="100" t="n">
        <x:f>IF(OR(L24=0,L24=$C$13),1,IF(MOD(L24,2)=0,2,4))</x:f>
        <x:v>2</x:v>
      </x:c>
      <x:c r="O24" s="100" t="n">
        <x:f>NORM.S.DIST(M24,FALSE)*NORM.S.DIST(($H$10-$H$7*M24)/SQRT(1-$H$7^2),TRUE)</x:f>
        <x:v>7.705706843979681e-14</x:v>
      </x:c>
      <x:c r="P24" s="100" t="n">
        <x:f>N24*O24</x:f>
        <x:v>1.5411413687959362e-13</x:v>
      </x:c>
      <x:c r="Q24" s="100" t="n">
        <x:f>$C$14+(($H$9-$C$14)/$C$13)*L24</x:f>
        <x:v>-7.65971027865028</x:v>
      </x:c>
      <x:c r="R24" s="100" t="n">
        <x:f>NORM.S.DIST(Q24,FALSE)*NORM.S.DIST(($H$11-$H$7*Q24)/SQRT(1-$H$7^2),TRUE)</x:f>
        <x:v>7.254862924928629e-14</x:v>
      </x:c>
      <x:c r="S24" s="100" t="n">
        <x:f>N24*R24</x:f>
        <x:v>1.4509725849857257e-13</x:v>
      </x:c>
    </x:row>
    <x:row r="25" ht="32" customHeight="1">
      <x:c r="A25" s="107" t="str">
        <x:v>6</x:v>
      </x:c>
      <x:c r="B25" s="107" t="str">
        <x:v>b2=b1−σ√T2</x:v>
      </x:c>
      <x:c r="C25" s="107" t="str">
        <x:v>Celda H11</x:v>
      </x:c>
      <x:c r="D25" s="91"/>
      <x:c r="E25" s="91"/>
      <x:c r="F25" s="91"/>
      <x:c r="G25" s="91"/>
      <x:c r="H25" s="91"/>
      <x:c r="I25" s="91"/>
      <x:c r="J25" s="91"/>
      <x:c r="K25" s="91"/>
      <x:c r="L25" s="99" t="n">
        <x:f>19</x:f>
        <x:v>19</x:v>
      </x:c>
      <x:c r="M25" s="100" t="n">
        <x:f>$C$14+(($H$8-$C$14)/$C$13)*L25</x:f>
        <x:v>-7.632492794130851</x:v>
      </x:c>
      <x:c r="N25" s="100" t="n">
        <x:f>IF(OR(L25=0,L25=$C$13),1,IF(MOD(L25,2)=0,2,4))</x:f>
        <x:v>4</x:v>
      </x:c>
      <x:c r="O25" s="100" t="n">
        <x:f>NORM.S.DIST(M25,FALSE)*NORM.S.DIST(($H$10-$H$7*M25)/SQRT(1-$H$7^2),TRUE)</x:f>
        <x:v>8.933244390236069e-14</x:v>
      </x:c>
      <x:c r="P25" s="100" t="n">
        <x:f>N25*O25</x:f>
        <x:v>3.5732977560944276e-13</x:v>
      </x:c>
      <x:c r="Q25" s="100" t="n">
        <x:f>$C$14+(($H$9-$C$14)/$C$13)*L25</x:f>
        <x:v>-7.6408052941308515</x:v>
      </x:c>
      <x:c r="R25" s="100" t="n">
        <x:f>NORM.S.DIST(Q25,FALSE)*NORM.S.DIST(($H$11-$H$7*Q25)/SQRT(1-$H$7^2),TRUE)</x:f>
        <x:v>8.383789310414877e-14</x:v>
      </x:c>
      <x:c r="S25" s="100" t="n">
        <x:f>N25*R25</x:f>
        <x:v>3.3535157241659507e-13</x:v>
      </x:c>
    </x:row>
    <x:row r="26" ht="32" customHeight="1">
      <x:c r="A26" s="107" t="str">
        <x:v>7</x:v>
      </x:c>
      <x:c r="B26" s="107" t="str">
        <x:v>M(a,b;ρ)=∫φ(x)N((b−ρx)/√(1−ρ²))dx</x:v>
      </x:c>
      <x:c r="C26" s="107" t="str">
        <x:v>Simpson en L5:S406</x:v>
      </x:c>
      <x:c r="D26" s="91"/>
      <x:c r="E26" s="91"/>
      <x:c r="F26" s="91"/>
      <x:c r="G26" s="91"/>
      <x:c r="H26" s="91"/>
      <x:c r="I26" s="91"/>
      <x:c r="J26" s="91"/>
      <x:c r="K26" s="91"/>
      <x:c r="L26" s="99" t="n">
        <x:f>20</x:f>
        <x:v>20</x:v>
      </x:c>
      <x:c r="M26" s="100" t="n">
        <x:f>$C$14+(($H$8-$C$14)/$C$13)*L26</x:f>
        <x:v>-7.613150309611423</x:v>
      </x:c>
      <x:c r="N26" s="100" t="n">
        <x:f>IF(OR(L26=0,L26=$C$13),1,IF(MOD(L26,2)=0,2,4))</x:f>
        <x:v>2</x:v>
      </x:c>
      <x:c r="O26" s="100" t="n">
        <x:f>NORM.S.DIST(M26,FALSE)*NORM.S.DIST(($H$10-$H$7*M26)/SQRT(1-$H$7^2),TRUE)</x:f>
        <x:v>1.0352457698799567e-13</x:v>
      </x:c>
      <x:c r="P26" s="100" t="n">
        <x:f>N26*O26</x:f>
        <x:v>2.0704915397599134e-13</x:v>
      </x:c>
      <x:c r="Q26" s="100" t="n">
        <x:f>$C$14+(($H$9-$C$14)/$C$13)*L26</x:f>
        <x:v>-7.621900309611423</x:v>
      </x:c>
      <x:c r="R26" s="100" t="n">
        <x:f>NORM.S.DIST(Q26,FALSE)*NORM.S.DIST(($H$11-$H$7*Q26)/SQRT(1-$H$7^2),TRUE)</x:f>
        <x:v>9.684925493829193e-14</x:v>
      </x:c>
      <x:c r="S26" s="100" t="n">
        <x:f>N26*R26</x:f>
        <x:v>1.9369850987658386e-13</x:v>
      </x:c>
    </x:row>
    <x:row r="27" ht="32" customHeight="1">
      <x:c r="A27" s="107" t="str">
        <x:v>8</x:v>
      </x:c>
      <x:c r="B27" s="107" t="str">
        <x:v>c=S0e^(−qT2)M(a1,b1;ρ)−K2e^(−rT2)M(a2,b2;ρ)−K1e^(−rT1)N(a2)</x:v>
      </x:c>
      <x:c r="C27" s="107" t="str">
        <x:v>Celda H15</x:v>
      </x:c>
      <x:c r="D27" s="91"/>
      <x:c r="E27" s="91"/>
      <x:c r="F27" s="91"/>
      <x:c r="G27" s="91"/>
      <x:c r="H27" s="91"/>
      <x:c r="I27" s="91"/>
      <x:c r="J27" s="91"/>
      <x:c r="K27" s="91"/>
      <x:c r="L27" s="99" t="n">
        <x:f>21</x:f>
        <x:v>21</x:v>
      </x:c>
      <x:c r="M27" s="100" t="n">
        <x:f>$C$14+(($H$8-$C$14)/$C$13)*L27</x:f>
        <x:v>-7.593807825091994</x:v>
      </x:c>
      <x:c r="N27" s="100" t="n">
        <x:f>IF(OR(L27=0,L27=$C$13),1,IF(MOD(L27,2)=0,2,4))</x:f>
        <x:v>4</x:v>
      </x:c>
      <x:c r="O27" s="100" t="n">
        <x:f>NORM.S.DIST(M27,FALSE)*NORM.S.DIST(($H$10-$H$7*M27)/SQRT(1-$H$7^2),TRUE)</x:f>
        <x:v>1.1992651971166255e-13</x:v>
      </x:c>
      <x:c r="P27" s="100" t="n">
        <x:f>N27*O27</x:f>
        <x:v>4.797060788466502e-13</x:v>
      </x:c>
      <x:c r="Q27" s="100" t="n">
        <x:f>$C$14+(($H$9-$C$14)/$C$13)*L27</x:f>
        <x:v>-7.602995325091993</x:v>
      </x:c>
      <x:c r="R27" s="100" t="n">
        <x:f>NORM.S.DIST(Q27,FALSE)*NORM.S.DIST(($H$11-$H$7*Q27)/SQRT(1-$H$7^2),TRUE)</x:f>
        <x:v>1.1183995823168852e-13</x:v>
      </x:c>
      <x:c r="S27" s="100" t="n">
        <x:f>N27*R27</x:f>
        <x:v>4.473598329267541e-13</x:v>
      </x:c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9" t="n">
        <x:f>22</x:f>
        <x:v>22</x:v>
      </x:c>
      <x:c r="M28" s="100" t="n">
        <x:f>$C$14+(($H$8-$C$14)/$C$13)*L28</x:f>
        <x:v>-7.574465340572565</x:v>
      </x:c>
      <x:c r="N28" s="100" t="n">
        <x:f>IF(OR(L28=0,L28=$C$13),1,IF(MOD(L28,2)=0,2,4))</x:f>
        <x:v>2</x:v>
      </x:c>
      <x:c r="O28" s="100" t="n">
        <x:f>NORM.S.DIST(M28,FALSE)*NORM.S.DIST(($H$10-$H$7*M28)/SQRT(1-$H$7^2),TRUE)</x:f>
        <x:v>1.3887514109411055e-13</x:v>
      </x:c>
      <x:c r="P28" s="100" t="n">
        <x:f>N28*O28</x:f>
        <x:v>2.777502821882211e-13</x:v>
      </x:c>
      <x:c r="Q28" s="100" t="n">
        <x:f>$C$14+(($H$9-$C$14)/$C$13)*L28</x:f>
        <x:v>-7.584090340572565</x:v>
      </x:c>
      <x:c r="R28" s="100" t="n">
        <x:f>NORM.S.DIST(Q28,FALSE)*NORM.S.DIST(($H$11-$H$7*Q28)/SQRT(1-$H$7^2),TRUE)</x:f>
        <x:v>1.2910483060832283e-13</x:v>
      </x:c>
      <x:c r="S28" s="100" t="n">
        <x:f>N28*R28</x:f>
        <x:v>2.5820966121664566e-13</x:v>
      </x:c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9" t="n">
        <x:f>23</x:f>
        <x:v>23</x:v>
      </x:c>
      <x:c r="M29" s="100" t="n">
        <x:f>$C$14+(($H$8-$C$14)/$C$13)*L29</x:f>
        <x:v>-7.555122856053136</x:v>
      </x:c>
      <x:c r="N29" s="100" t="n">
        <x:f>IF(OR(L29=0,L29=$C$13),1,IF(MOD(L29,2)=0,2,4))</x:f>
        <x:v>4</x:v>
      </x:c>
      <x:c r="O29" s="100" t="n">
        <x:f>NORM.S.DIST(M29,FALSE)*NORM.S.DIST(($H$10-$H$7*M29)/SQRT(1-$H$7^2),TRUE)</x:f>
        <x:v>1.6075752545591965e-13</x:v>
      </x:c>
      <x:c r="P29" s="100" t="n">
        <x:f>N29*O29</x:f>
        <x:v>6.430301018236786e-13</x:v>
      </x:c>
      <x:c r="Q29" s="100" t="n">
        <x:f>$C$14+(($H$9-$C$14)/$C$13)*L29</x:f>
        <x:v>-7.565185356053136</x:v>
      </x:c>
      <x:c r="R29" s="100" t="n">
        <x:f>NORM.S.DIST(Q29,FALSE)*NORM.S.DIST(($H$11-$H$7*Q29)/SQRT(1-$H$7^2),TRUE)</x:f>
        <x:v>1.4898164731632643e-13</x:v>
      </x:c>
      <x:c r="S29" s="100" t="n">
        <x:f>N29*R29</x:f>
        <x:v>5.959265892653057e-13</x:v>
      </x:c>
    </x:row>
    <x:row r="30">
      <x:c r="A30" s="108" t="str">
        <x:v>Bisección para encontrar S*</x:v>
      </x:c>
      <x:c r="B30" s="108"/>
      <x:c r="C30" s="108"/>
      <x:c r="D30" s="108"/>
      <x:c r="E30" s="108"/>
      <x:c r="F30" s="108"/>
      <x:c r="G30" s="91"/>
      <x:c r="H30" s="91"/>
      <x:c r="I30" s="91"/>
      <x:c r="J30" s="91"/>
      <x:c r="K30" s="91"/>
      <x:c r="L30" s="99" t="n">
        <x:f>24</x:f>
        <x:v>24</x:v>
      </x:c>
      <x:c r="M30" s="100" t="n">
        <x:f>$C$14+(($H$8-$C$14)/$C$13)*L30</x:f>
        <x:v>-7.535780371533707</x:v>
      </x:c>
      <x:c r="N30" s="100" t="n">
        <x:f>IF(OR(L30=0,L30=$C$13),1,IF(MOD(L30,2)=0,2,4))</x:f>
        <x:v>2</x:v>
      </x:c>
      <x:c r="O30" s="100" t="n">
        <x:f>NORM.S.DIST(M30,FALSE)*NORM.S.DIST(($H$10-$H$7*M30)/SQRT(1-$H$7^2),TRUE)</x:f>
        <x:v>1.8601828172172586e-13</x:v>
      </x:c>
      <x:c r="P30" s="100" t="n">
        <x:f>N30*O30</x:f>
        <x:v>3.7203656344345173e-13</x:v>
      </x:c>
      <x:c r="Q30" s="100" t="n">
        <x:f>$C$14+(($H$9-$C$14)/$C$13)*L30</x:f>
        <x:v>-7.546280371533707</x:v>
      </x:c>
      <x:c r="R30" s="100" t="n">
        <x:f>NORM.S.DIST(Q30,FALSE)*NORM.S.DIST(($H$11-$H$7*Q30)/SQRT(1-$H$7^2),TRUE)</x:f>
        <x:v>1.71857241140387e-13</x:v>
      </x:c>
      <x:c r="S30" s="100" t="n">
        <x:f>N30*R30</x:f>
        <x:v>3.43714482280774e-13</x:v>
      </x:c>
    </x:row>
    <x:row r="31">
      <x:c r="A31" s="109" t="str">
        <x:v>Iteración</x:v>
      </x:c>
      <x:c r="B31" s="109" t="str">
        <x:v>Bajo</x:v>
      </x:c>
      <x:c r="C31" s="109" t="str">
        <x:v>Alto</x:v>
      </x:c>
      <x:c r="D31" s="109" t="str">
        <x:v>Medio S</x:v>
      </x:c>
      <x:c r="E31" s="109" t="str">
        <x:v>C_BSM(medio)</x:v>
      </x:c>
      <x:c r="F31" s="109" t="str">
        <x:v>C_BSM−K1</x:v>
      </x:c>
      <x:c r="G31" s="91"/>
      <x:c r="H31" s="91"/>
      <x:c r="I31" s="91"/>
      <x:c r="J31" s="91"/>
      <x:c r="K31" s="91"/>
      <x:c r="L31" s="99" t="n">
        <x:f>25</x:f>
        <x:v>25</x:v>
      </x:c>
      <x:c r="M31" s="100" t="n">
        <x:f>$C$14+(($H$8-$C$14)/$C$13)*L31</x:f>
        <x:v>-7.516437887014278</x:v>
      </x:c>
      <x:c r="N31" s="100" t="n">
        <x:f>IF(OR(L31=0,L31=$C$13),1,IF(MOD(L31,2)=0,2,4))</x:f>
        <x:v>4</x:v>
      </x:c>
      <x:c r="O31" s="100" t="n">
        <x:f>NORM.S.DIST(M31,FALSE)*NORM.S.DIST(($H$10-$H$7*M31)/SQRT(1-$H$7^2),TRUE)</x:f>
        <x:v>2.1516788998206306e-13</x:v>
      </x:c>
      <x:c r="P31" s="100" t="n">
        <x:f>N31*O31</x:f>
        <x:v>8.606715599282523e-13</x:v>
      </x:c>
      <x:c r="Q31" s="100" t="n">
        <x:f>$C$14+(($H$9-$C$14)/$C$13)*L31</x:f>
        <x:v>-7.527375387014278</x:v>
      </x:c>
      <x:c r="R31" s="100" t="n">
        <x:f>NORM.S.DIST(Q31,FALSE)*NORM.S.DIST(($H$11-$H$7*Q31)/SQRT(1-$H$7^2),TRUE)</x:f>
        <x:v>1.9817445986851934e-13</x:v>
      </x:c>
      <x:c r="S31" s="100" t="n">
        <x:f>N31*R31</x:f>
        <x:v>7.926978394740773e-13</x:v>
      </x:c>
    </x:row>
    <x:row r="32">
      <x:c r="A32" s="99" t="n">
        <x:f>0</x:f>
        <x:v>0</x:v>
      </x:c>
      <x:c r="B32" s="110" t="n">
        <x:f>0.000001</x:f>
        <x:v>0.000001</x:v>
      </x:c>
      <x:c r="C32" s="110" t="n">
        <x:f>C15</x:f>
        <x:v>2000</x:v>
      </x:c>
      <x:c r="D32" s="110" t="n">
        <x:f>(B32+C32)/2</x:f>
        <x:v>1000.0000005</x:v>
      </x:c>
      <x:c r="E32" s="110" t="n">
        <x:f>IF(D32&lt;=0,0,D32*EXP(-$C$9*($C$12-$C$11))*NORM.S.DIST((LN(D32/$C$7)+($C$8-$C$9+0.5*$C$10^2)*($C$12-$C$11))/($C$10*SQRT($C$12-$C$11)),TRUE)-$C$7*EXP(-$C$8*($C$12-$C$11))*NORM.S.DIST((LN(D32/$C$7)+($C$8-$C$9+0.5*$C$10^2)*($C$12-$C$11))/($C$10*SQRT($C$12-$C$11))-$C$10*SQRT($C$12-$C$11),TRUE))</x:f>
        <x:v>482.8267849608833</x:v>
      </x:c>
      <x:c r="F32" s="110" t="n">
        <x:f>E32-$C$6</x:f>
        <x:v>432.8267849608833</x:v>
      </x:c>
      <x:c r="G32" s="91"/>
      <x:c r="H32" s="91"/>
      <x:c r="I32" s="91"/>
      <x:c r="J32" s="91"/>
      <x:c r="K32" s="91"/>
      <x:c r="L32" s="99" t="n">
        <x:f>26</x:f>
        <x:v>26</x:v>
      </x:c>
      <x:c r="M32" s="100" t="n">
        <x:f>$C$14+(($H$8-$C$14)/$C$13)*L32</x:f>
        <x:v>-7.497095402494849</x:v>
      </x:c>
      <x:c r="N32" s="100" t="n">
        <x:f>IF(OR(L32=0,L32=$C$13),1,IF(MOD(L32,2)=0,2,4))</x:f>
        <x:v>2</x:v>
      </x:c>
      <x:c r="O32" s="100" t="n">
        <x:f>NORM.S.DIST(M32,FALSE)*NORM.S.DIST(($H$10-$H$7*M32)/SQRT(1-$H$7^2),TRUE)</x:f>
        <x:v>2.4879222855139996e-13</x:v>
      </x:c>
      <x:c r="P32" s="100" t="n">
        <x:f>N32*O32</x:f>
        <x:v>4.975844571027999e-13</x:v>
      </x:c>
      <x:c r="Q32" s="100" t="n">
        <x:f>$C$14+(($H$9-$C$14)/$C$13)*L32</x:f>
        <x:v>-7.508470402494849</x:v>
      </x:c>
      <x:c r="R32" s="100" t="n">
        <x:f>NORM.S.DIST(Q32,FALSE)*NORM.S.DIST(($H$11-$H$7*Q32)/SQRT(1-$H$7^2),TRUE)</x:f>
        <x:v>2.284400857423574e-13</x:v>
      </x:c>
      <x:c r="S32" s="100" t="n">
        <x:f>N32*R32</x:f>
        <x:v>4.568801714847148e-13</x:v>
      </x:c>
    </x:row>
    <x:row r="33">
      <x:c r="A33" s="99" t="n">
        <x:f>A32+1</x:f>
        <x:v>1</x:v>
      </x:c>
      <x:c r="B33" s="110" t="n">
        <x:f>IF(F32&lt;0,D32,B32)</x:f>
        <x:v>0.000001</x:v>
      </x:c>
      <x:c r="C33" s="110" t="n">
        <x:f>IF(F32&lt;0,C32,D32)</x:f>
        <x:v>1000.0000005</x:v>
      </x:c>
      <x:c r="D33" s="110" t="n">
        <x:f>(B33+C33)/2</x:f>
        <x:v>500.00000075</x:v>
      </x:c>
      <x:c r="E33" s="110" t="n">
        <x:f>IF(D33&lt;=0,0,D33*EXP(-$C$9*($C$12-$C$11))*NORM.S.DIST((LN(D33/$C$7)+($C$8-$C$9+0.5*$C$10^2)*($C$12-$C$11))/($C$10*SQRT($C$12-$C$11)),TRUE)-$C$7*EXP(-$C$8*($C$12-$C$11))*NORM.S.DIST((LN(D33/$C$7)+($C$8-$C$9+0.5*$C$10^2)*($C$12-$C$11))/($C$10*SQRT($C$12-$C$11))-$C$10*SQRT($C$12-$C$11),TRUE))</x:f>
        <x:v>28.758317961000472</x:v>
      </x:c>
      <x:c r="F33" s="110" t="n">
        <x:f>E33-$C$6</x:f>
        <x:v>-21.241682038999528</x:v>
      </x:c>
      <x:c r="G33" s="91"/>
      <x:c r="H33" s="91"/>
      <x:c r="I33" s="91"/>
      <x:c r="J33" s="91"/>
      <x:c r="K33" s="91"/>
      <x:c r="L33" s="99" t="n">
        <x:f>27</x:f>
        <x:v>27</x:v>
      </x:c>
      <x:c r="M33" s="100" t="n">
        <x:f>$C$14+(($H$8-$C$14)/$C$13)*L33</x:f>
        <x:v>-7.477752917975421</x:v>
      </x:c>
      <x:c r="N33" s="100" t="n">
        <x:f>IF(OR(L33=0,L33=$C$13),1,IF(MOD(L33,2)=0,2,4))</x:f>
        <x:v>4</x:v>
      </x:c>
      <x:c r="O33" s="100" t="n">
        <x:f>NORM.S.DIST(M33,FALSE)*NORM.S.DIST(($H$10-$H$7*M33)/SQRT(1-$H$7^2),TRUE)</x:f>
        <x:v>2.875634439672514e-13</x:v>
      </x:c>
      <x:c r="P33" s="100" t="n">
        <x:f>N33*O33</x:f>
        <x:v>1.1502537758690056e-12</x:v>
      </x:c>
      <x:c r="Q33" s="100" t="n">
        <x:f>$C$14+(($H$9-$C$14)/$C$13)*L33</x:f>
        <x:v>-7.48956541797542</x:v>
      </x:c>
      <x:c r="R33" s="100" t="n">
        <x:f>NORM.S.DIST(Q33,FALSE)*NORM.S.DIST(($H$11-$H$7*Q33)/SQRT(1-$H$7^2),TRUE)</x:f>
        <x:v>2.632338463239231e-13</x:v>
      </x:c>
      <x:c r="S33" s="100" t="n">
        <x:f>N33*R33</x:f>
        <x:v>1.0529353852956924e-12</x:v>
      </x:c>
    </x:row>
    <x:row r="34">
      <x:c r="A34" s="99" t="n">
        <x:f>A33+1</x:f>
        <x:v>2</x:v>
      </x:c>
      <x:c r="B34" s="110" t="n">
        <x:f>IF(F33&lt;0,D33,B33)</x:f>
        <x:v>500.00000075</x:v>
      </x:c>
      <x:c r="C34" s="110" t="n">
        <x:f>IF(F33&lt;0,C33,D33)</x:f>
        <x:v>1000.0000005</x:v>
      </x:c>
      <x:c r="D34" s="110" t="n">
        <x:f>(B34+C34)/2</x:f>
        <x:v>750.000000625</x:v>
      </x:c>
      <x:c r="E34" s="110" t="n">
        <x:f>IF(D34&lt;=0,0,D34*EXP(-$C$9*($C$12-$C$11))*NORM.S.DIST((LN(D34/$C$7)+($C$8-$C$9+0.5*$C$10^2)*($C$12-$C$11))/($C$10*SQRT($C$12-$C$11)),TRUE)-$C$7*EXP(-$C$8*($C$12-$C$11))*NORM.S.DIST((LN(D34/$C$7)+($C$8-$C$9+0.5*$C$10^2)*($C$12-$C$11))/($C$10*SQRT($C$12-$C$11))-$C$10*SQRT($C$12-$C$11),TRUE))</x:f>
        <x:v>235.27382016394512</x:v>
      </x:c>
      <x:c r="F34" s="110" t="n">
        <x:f>E34-$C$6</x:f>
        <x:v>185.27382016394512</x:v>
      </x:c>
      <x:c r="G34" s="91"/>
      <x:c r="H34" s="91"/>
      <x:c r="I34" s="91"/>
      <x:c r="J34" s="91"/>
      <x:c r="K34" s="91"/>
      <x:c r="L34" s="99" t="n">
        <x:f>28</x:f>
        <x:v>28</x:v>
      </x:c>
      <x:c r="M34" s="100" t="n">
        <x:f>$C$14+(($H$8-$C$14)/$C$13)*L34</x:f>
        <x:v>-7.458410433455992</x:v>
      </x:c>
      <x:c r="N34" s="100" t="n">
        <x:f>IF(OR(L34=0,L34=$C$13),1,IF(MOD(L34,2)=0,2,4))</x:f>
        <x:v>2</x:v>
      </x:c>
      <x:c r="O34" s="100" t="n">
        <x:f>NORM.S.DIST(M34,FALSE)*NORM.S.DIST(($H$10-$H$7*M34)/SQRT(1-$H$7^2),TRUE)</x:f>
        <x:v>3.3225234807554196e-13</x:v>
      </x:c>
      <x:c r="P34" s="100" t="n">
        <x:f>N34*O34</x:f>
        <x:v>6.645046961510839e-13</x:v>
      </x:c>
      <x:c r="Q34" s="100" t="n">
        <x:f>$C$14+(($H$9-$C$14)/$C$13)*L34</x:f>
        <x:v>-7.470660433455992</x:v>
      </x:c>
      <x:c r="R34" s="100" t="n">
        <x:f>NORM.S.DIST(Q34,FALSE)*NORM.S.DIST(($H$11-$H$7*Q34)/SQRT(1-$H$7^2),TRUE)</x:f>
        <x:v>3.032186631210897e-13</x:v>
      </x:c>
      <x:c r="S34" s="100" t="n">
        <x:f>N34*R34</x:f>
        <x:v>6.064373262421794e-13</x:v>
      </x:c>
    </x:row>
    <x:row r="35">
      <x:c r="A35" s="99" t="n">
        <x:f>A34+1</x:f>
        <x:v>3</x:v>
      </x:c>
      <x:c r="B35" s="110" t="n">
        <x:f>IF(F34&lt;0,D34,B34)</x:f>
        <x:v>500.00000075</x:v>
      </x:c>
      <x:c r="C35" s="110" t="n">
        <x:f>IF(F34&lt;0,C34,D34)</x:f>
        <x:v>750.000000625</x:v>
      </x:c>
      <x:c r="D35" s="110" t="n">
        <x:f>(B35+C35)/2</x:f>
        <x:v>625.0000006875</x:v>
      </x:c>
      <x:c r="E35" s="110" t="n">
        <x:f>IF(D35&lt;=0,0,D35*EXP(-$C$9*($C$12-$C$11))*NORM.S.DIST((LN(D35/$C$7)+($C$8-$C$9+0.5*$C$10^2)*($C$12-$C$11))/($C$10*SQRT($C$12-$C$11)),TRUE)-$C$7*EXP(-$C$8*($C$12-$C$11))*NORM.S.DIST((LN(D35/$C$7)+($C$8-$C$9+0.5*$C$10^2)*($C$12-$C$11))/($C$10*SQRT($C$12-$C$11))-$C$10*SQRT($C$12-$C$11),TRUE))</x:f>
        <x:v>117.06889777534138</x:v>
      </x:c>
      <x:c r="F35" s="110" t="n">
        <x:f>E35-$C$6</x:f>
        <x:v>67.06889777534138</x:v>
      </x:c>
      <x:c r="G35" s="91"/>
      <x:c r="H35" s="91"/>
      <x:c r="I35" s="91"/>
      <x:c r="J35" s="91"/>
      <x:c r="K35" s="91"/>
      <x:c r="L35" s="99" t="n">
        <x:f>29</x:f>
        <x:v>29</x:v>
      </x:c>
      <x:c r="M35" s="100" t="n">
        <x:f>$C$14+(($H$8-$C$14)/$C$13)*L35</x:f>
        <x:v>-7.439067948936563</x:v>
      </x:c>
      <x:c r="N35" s="100" t="n">
        <x:f>IF(OR(L35=0,L35=$C$13),1,IF(MOD(L35,2)=0,2,4))</x:f>
        <x:v>4</x:v>
      </x:c>
      <x:c r="O35" s="100" t="n">
        <x:f>NORM.S.DIST(M35,FALSE)*NORM.S.DIST(($H$10-$H$7*M35)/SQRT(1-$H$7^2),TRUE)</x:f>
        <x:v>3.8374255085428314e-13</x:v>
      </x:c>
      <x:c r="P35" s="100" t="n">
        <x:f>N35*O35</x:f>
        <x:v>1.5349702034171326e-12</x:v>
      </x:c>
      <x:c r="Q35" s="100" t="n">
        <x:f>$C$14+(($H$9-$C$14)/$C$13)*L35</x:f>
        <x:v>-7.451755448936563</x:v>
      </x:c>
      <x:c r="R35" s="100" t="n">
        <x:f>NORM.S.DIST(Q35,FALSE)*NORM.S.DIST(($H$11-$H$7*Q35)/SQRT(1-$H$7^2),TRUE)</x:f>
        <x:v>3.4915230336263873e-13</x:v>
      </x:c>
      <x:c r="S35" s="100" t="n">
        <x:f>N35*R35</x:f>
        <x:v>1.396609213450555e-12</x:v>
      </x:c>
    </x:row>
    <x:row r="36">
      <x:c r="A36" s="99" t="n">
        <x:f>A35+1</x:f>
        <x:v>4</x:v>
      </x:c>
      <x:c r="B36" s="110" t="n">
        <x:f>IF(F35&lt;0,D35,B35)</x:f>
        <x:v>500.00000075</x:v>
      </x:c>
      <x:c r="C36" s="110" t="n">
        <x:f>IF(F35&lt;0,C35,D35)</x:f>
        <x:v>625.0000006875</x:v>
      </x:c>
      <x:c r="D36" s="110" t="n">
        <x:f>(B36+C36)/2</x:f>
        <x:v>562.50000071875</x:v>
      </x:c>
      <x:c r="E36" s="110" t="n">
        <x:f>IF(D36&lt;=0,0,D36*EXP(-$C$9*($C$12-$C$11))*NORM.S.DIST((LN(D36/$C$7)+($C$8-$C$9+0.5*$C$10^2)*($C$12-$C$11))/($C$10*SQRT($C$12-$C$11)),TRUE)-$C$7*EXP(-$C$8*($C$12-$C$11))*NORM.S.DIST((LN(D36/$C$7)+($C$8-$C$9+0.5*$C$10^2)*($C$12-$C$11))/($C$10*SQRT($C$12-$C$11))-$C$10*SQRT($C$12-$C$11),TRUE))</x:f>
        <x:v>66.44385936893013</x:v>
      </x:c>
      <x:c r="F36" s="110" t="n">
        <x:f>E36-$C$6</x:f>
        <x:v>16.443859368930134</x:v>
      </x:c>
      <x:c r="G36" s="91"/>
      <x:c r="H36" s="91"/>
      <x:c r="I36" s="91"/>
      <x:c r="J36" s="91"/>
      <x:c r="K36" s="91"/>
      <x:c r="L36" s="99" t="n">
        <x:f>30</x:f>
        <x:v>30</x:v>
      </x:c>
      <x:c r="M36" s="100" t="n">
        <x:f>$C$14+(($H$8-$C$14)/$C$13)*L36</x:f>
        <x:v>-7.419725464417134</x:v>
      </x:c>
      <x:c r="N36" s="100" t="n">
        <x:f>IF(OR(L36=0,L36=$C$13),1,IF(MOD(L36,2)=0,2,4))</x:f>
        <x:v>2</x:v>
      </x:c>
      <x:c r="O36" s="100" t="n">
        <x:f>NORM.S.DIST(M36,FALSE)*NORM.S.DIST(($H$10-$H$7*M36)/SQRT(1-$H$7^2),TRUE)</x:f>
        <x:v>4.4304656529151323e-13</x:v>
      </x:c>
      <x:c r="P36" s="100" t="n">
        <x:f>N36*O36</x:f>
        <x:v>8.860931305830265e-13</x:v>
      </x:c>
      <x:c r="Q36" s="100" t="n">
        <x:f>$C$14+(($H$9-$C$14)/$C$13)*L36</x:f>
        <x:v>-7.432850464417133</x:v>
      </x:c>
      <x:c r="R36" s="100" t="n">
        <x:f>NORM.S.DIST(Q36,FALSE)*NORM.S.DIST(($H$11-$H$7*Q36)/SQRT(1-$H$7^2),TRUE)</x:f>
        <x:v>4.0190062176289086e-13</x:v>
      </x:c>
      <x:c r="S36" s="100" t="n">
        <x:f>N36*R36</x:f>
        <x:v>8.038012435257817e-13</x:v>
      </x:c>
    </x:row>
    <x:row r="37">
      <x:c r="A37" s="99" t="n">
        <x:f>A36+1</x:f>
        <x:v>5</x:v>
      </x:c>
      <x:c r="B37" s="110" t="n">
        <x:f>IF(F36&lt;0,D36,B36)</x:f>
        <x:v>500.00000075</x:v>
      </x:c>
      <x:c r="C37" s="110" t="n">
        <x:f>IF(F36&lt;0,C36,D36)</x:f>
        <x:v>562.50000071875</x:v>
      </x:c>
      <x:c r="D37" s="110" t="n">
        <x:f>(B37+C37)/2</x:f>
        <x:v>531.250000734375</x:v>
      </x:c>
      <x:c r="E37" s="110" t="n">
        <x:f>IF(D37&lt;=0,0,D37*EXP(-$C$9*($C$12-$C$11))*NORM.S.DIST((LN(D37/$C$7)+($C$8-$C$9+0.5*$C$10^2)*($C$12-$C$11))/($C$10*SQRT($C$12-$C$11)),TRUE)-$C$7*EXP(-$C$8*($C$12-$C$11))*NORM.S.DIST((LN(D37/$C$7)+($C$8-$C$9+0.5*$C$10^2)*($C$12-$C$11))/($C$10*SQRT($C$12-$C$11))-$C$10*SQRT($C$12-$C$11),TRUE))</x:f>
        <x:v>45.615482409052504</x:v>
      </x:c>
      <x:c r="F37" s="110" t="n">
        <x:f>E37-$C$6</x:f>
        <x:v>-4.384517590947496</x:v>
      </x:c>
      <x:c r="G37" s="91"/>
      <x:c r="H37" s="91"/>
      <x:c r="I37" s="91"/>
      <x:c r="J37" s="91"/>
      <x:c r="K37" s="91"/>
      <x:c r="L37" s="99" t="n">
        <x:f>31</x:f>
        <x:v>31</x:v>
      </x:c>
      <x:c r="M37" s="100" t="n">
        <x:f>$C$14+(($H$8-$C$14)/$C$13)*L37</x:f>
        <x:v>-7.400382979897705</x:v>
      </x:c>
      <x:c r="N37" s="100" t="n">
        <x:f>IF(OR(L37=0,L37=$C$13),1,IF(MOD(L37,2)=0,2,4))</x:f>
        <x:v>4</x:v>
      </x:c>
      <x:c r="O37" s="100" t="n">
        <x:f>NORM.S.DIST(M37,FALSE)*NORM.S.DIST(($H$10-$H$7*M37)/SQRT(1-$H$7^2),TRUE)</x:f>
        <x:v>5.113241518464609e-13</x:v>
      </x:c>
      <x:c r="P37" s="100" t="n">
        <x:f>N37*O37</x:f>
        <x:v>2.0452966073858434e-12</x:v>
      </x:c>
      <x:c r="Q37" s="100" t="n">
        <x:f>$C$14+(($H$9-$C$14)/$C$13)*L37</x:f>
        <x:v>-7.413945479897705</x:v>
      </x:c>
      <x:c r="R37" s="100" t="n">
        <x:f>NORM.S.DIST(Q37,FALSE)*NORM.S.DIST(($H$11-$H$7*Q37)/SQRT(1-$H$7^2),TRUE)</x:f>
        <x:v>4.624526032574715e-13</x:v>
      </x:c>
      <x:c r="S37" s="100" t="n">
        <x:f>N37*R37</x:f>
        <x:v>1.849810413029886e-12</x:v>
      </x:c>
    </x:row>
    <x:row r="38">
      <x:c r="A38" s="99" t="n">
        <x:f>A37+1</x:f>
        <x:v>6</x:v>
      </x:c>
      <x:c r="B38" s="110" t="n">
        <x:f>IF(F37&lt;0,D37,B37)</x:f>
        <x:v>531.250000734375</x:v>
      </x:c>
      <x:c r="C38" s="110" t="n">
        <x:f>IF(F37&lt;0,C37,D37)</x:f>
        <x:v>562.50000071875</x:v>
      </x:c>
      <x:c r="D38" s="110" t="n">
        <x:f>(B38+C38)/2</x:f>
        <x:v>546.8750007265626</x:v>
      </x:c>
      <x:c r="E38" s="110" t="n">
        <x:f>IF(D38&lt;=0,0,D38*EXP(-$C$9*($C$12-$C$11))*NORM.S.DIST((LN(D38/$C$7)+($C$8-$C$9+0.5*$C$10^2)*($C$12-$C$11))/($C$10*SQRT($C$12-$C$11)),TRUE)-$C$7*EXP(-$C$8*($C$12-$C$11))*NORM.S.DIST((LN(D38/$C$7)+($C$8-$C$9+0.5*$C$10^2)*($C$12-$C$11))/($C$10*SQRT($C$12-$C$11))-$C$10*SQRT($C$12-$C$11),TRUE))</x:f>
        <x:v>55.57312507496874</x:v>
      </x:c>
      <x:c r="F38" s="110" t="n">
        <x:f>E38-$C$6</x:f>
        <x:v>5.573125074968743</x:v>
      </x:c>
      <x:c r="G38" s="91"/>
      <x:c r="H38" s="91"/>
      <x:c r="I38" s="91"/>
      <x:c r="J38" s="91"/>
      <x:c r="K38" s="91"/>
      <x:c r="L38" s="99" t="n">
        <x:f>32</x:f>
        <x:v>32</x:v>
      </x:c>
      <x:c r="M38" s="100" t="n">
        <x:f>$C$14+(($H$8-$C$14)/$C$13)*L38</x:f>
        <x:v>-7.381040495378276</x:v>
      </x:c>
      <x:c r="N38" s="100" t="n">
        <x:f>IF(OR(L38=0,L38=$C$13),1,IF(MOD(L38,2)=0,2,4))</x:f>
        <x:v>2</x:v>
      </x:c>
      <x:c r="O38" s="100" t="n">
        <x:f>NORM.S.DIST(M38,FALSE)*NORM.S.DIST(($H$10-$H$7*M38)/SQRT(1-$H$7^2),TRUE)</x:f>
        <x:v>5.899032052244304e-13</x:v>
      </x:c>
      <x:c r="P38" s="100" t="n">
        <x:f>N38*O38</x:f>
        <x:v>1.1798064104488608e-12</x:v>
      </x:c>
      <x:c r="Q38" s="100" t="n">
        <x:f>$C$14+(($H$9-$C$14)/$C$13)*L38</x:f>
        <x:v>-7.395040495378276</x:v>
      </x:c>
      <x:c r="R38" s="100" t="n">
        <x:f>NORM.S.DIST(Q38,FALSE)*NORM.S.DIST(($H$11-$H$7*Q38)/SQRT(1-$H$7^2),TRUE)</x:f>
        <x:v>5.319374448519533e-13</x:v>
      </x:c>
      <x:c r="S38" s="100" t="n">
        <x:f>N38*R38</x:f>
        <x:v>1.0638748897039066e-12</x:v>
      </x:c>
    </x:row>
    <x:row r="39">
      <x:c r="A39" s="99" t="n">
        <x:f>A38+1</x:f>
        <x:v>7</x:v>
      </x:c>
      <x:c r="B39" s="110" t="n">
        <x:f>IF(F38&lt;0,D38,B38)</x:f>
        <x:v>531.250000734375</x:v>
      </x:c>
      <x:c r="C39" s="110" t="n">
        <x:f>IF(F38&lt;0,C38,D38)</x:f>
        <x:v>546.8750007265626</x:v>
      </x:c>
      <x:c r="D39" s="110" t="n">
        <x:f>(B39+C39)/2</x:f>
        <x:v>539.0625007304689</x:v>
      </x:c>
      <x:c r="E39" s="110" t="n">
        <x:f>IF(D39&lt;=0,0,D39*EXP(-$C$9*($C$12-$C$11))*NORM.S.DIST((LN(D39/$C$7)+($C$8-$C$9+0.5*$C$10^2)*($C$12-$C$11))/($C$10*SQRT($C$12-$C$11)),TRUE)-$C$7*EXP(-$C$8*($C$12-$C$11))*NORM.S.DIST((LN(D39/$C$7)+($C$8-$C$9+0.5*$C$10^2)*($C$12-$C$11))/($C$10*SQRT($C$12-$C$11))-$C$10*SQRT($C$12-$C$11),TRUE))</x:f>
        <x:v>50.47449240689127</x:v>
      </x:c>
      <x:c r="F39" s="110" t="n">
        <x:f>E39-$C$6</x:f>
        <x:v>0.47449240689127237</x:v>
      </x:c>
      <x:c r="G39" s="91"/>
      <x:c r="H39" s="91"/>
      <x:c r="I39" s="91"/>
      <x:c r="J39" s="91"/>
      <x:c r="K39" s="91"/>
      <x:c r="L39" s="99" t="n">
        <x:f>33</x:f>
        <x:v>33</x:v>
      </x:c>
      <x:c r="M39" s="100" t="n">
        <x:f>$C$14+(($H$8-$C$14)/$C$13)*L39</x:f>
        <x:v>-7.361698010858847</x:v>
      </x:c>
      <x:c r="N39" s="100" t="n">
        <x:f>IF(OR(L39=0,L39=$C$13),1,IF(MOD(L39,2)=0,2,4))</x:f>
        <x:v>4</x:v>
      </x:c>
      <x:c r="O39" s="100" t="n">
        <x:f>NORM.S.DIST(M39,FALSE)*NORM.S.DIST(($H$10-$H$7*M39)/SQRT(1-$H$7^2),TRUE)</x:f>
        <x:v>6.803035258770927e-13</x:v>
      </x:c>
      <x:c r="P39" s="100" t="n">
        <x:f>N39*O39</x:f>
        <x:v>2.721214103508371e-12</x:v>
      </x:c>
      <x:c r="Q39" s="100" t="n">
        <x:f>$C$14+(($H$9-$C$14)/$C$13)*L39</x:f>
        <x:v>-7.376135510858847</x:v>
      </x:c>
      <x:c r="R39" s="100" t="n">
        <x:f>NORM.S.DIST(Q39,FALSE)*NORM.S.DIST(($H$11-$H$7*Q39)/SQRT(1-$H$7^2),TRUE)</x:f>
        <x:v>6.116439452675281e-13</x:v>
      </x:c>
      <x:c r="S39" s="100" t="n">
        <x:f>N39*R39</x:f>
        <x:v>2.4465757810701125e-12</x:v>
      </x:c>
    </x:row>
    <x:row r="40">
      <x:c r="A40" s="99" t="n">
        <x:f>A39+1</x:f>
        <x:v>8</x:v>
      </x:c>
      <x:c r="B40" s="110" t="n">
        <x:f>IF(F39&lt;0,D39,B39)</x:f>
        <x:v>531.250000734375</x:v>
      </x:c>
      <x:c r="C40" s="110" t="n">
        <x:f>IF(F39&lt;0,C39,D39)</x:f>
        <x:v>539.0625007304689</x:v>
      </x:c>
      <x:c r="D40" s="110" t="n">
        <x:f>(B40+C40)/2</x:f>
        <x:v>535.156250732422</x:v>
      </x:c>
      <x:c r="E40" s="110" t="n">
        <x:f>IF(D40&lt;=0,0,D40*EXP(-$C$9*($C$12-$C$11))*NORM.S.DIST((LN(D40/$C$7)+($C$8-$C$9+0.5*$C$10^2)*($C$12-$C$11))/($C$10*SQRT($C$12-$C$11)),TRUE)-$C$7*EXP(-$C$8*($C$12-$C$11))*NORM.S.DIST((LN(D40/$C$7)+($C$8-$C$9+0.5*$C$10^2)*($C$12-$C$11))/($C$10*SQRT($C$12-$C$11))-$C$10*SQRT($C$12-$C$11),TRUE))</x:f>
        <x:v>48.014373859019656</x:v>
      </x:c>
      <x:c r="F40" s="110" t="n">
        <x:f>E40-$C$6</x:f>
        <x:v>-1.9856261409803437</x:v>
      </x:c>
      <x:c r="G40" s="91"/>
      <x:c r="H40" s="91"/>
      <x:c r="I40" s="91"/>
      <x:c r="J40" s="91"/>
      <x:c r="K40" s="91"/>
      <x:c r="L40" s="99" t="n">
        <x:f>34</x:f>
        <x:v>34</x:v>
      </x:c>
      <x:c r="M40" s="100" t="n">
        <x:f>$C$14+(($H$8-$C$14)/$C$13)*L40</x:f>
        <x:v>-7.342355526339418</x:v>
      </x:c>
      <x:c r="N40" s="100" t="n">
        <x:f>IF(OR(L40=0,L40=$C$13),1,IF(MOD(L40,2)=0,2,4))</x:f>
        <x:v>2</x:v>
      </x:c>
      <x:c r="O40" s="100" t="n">
        <x:f>NORM.S.DIST(M40,FALSE)*NORM.S.DIST(($H$10-$H$7*M40)/SQRT(1-$H$7^2),TRUE)</x:f>
        <x:v>7.842638633503095e-13</x:v>
      </x:c>
      <x:c r="P40" s="100" t="n">
        <x:f>N40*O40</x:f>
        <x:v>1.568527726700619e-12</x:v>
      </x:c>
      <x:c r="Q40" s="100" t="n">
        <x:f>$C$14+(($H$9-$C$14)/$C$13)*L40</x:f>
        <x:v>-7.357230526339418</x:v>
      </x:c>
      <x:c r="R40" s="100" t="n">
        <x:f>NORM.S.DIST(Q40,FALSE)*NORM.S.DIST(($H$11-$H$7*Q40)/SQRT(1-$H$7^2),TRUE)</x:f>
        <x:v>7.030425053991841e-13</x:v>
      </x:c>
      <x:c r="S40" s="100" t="n">
        <x:f>N40*R40</x:f>
        <x:v>1.4060850107983682e-12</x:v>
      </x:c>
    </x:row>
    <x:row r="41">
      <x:c r="A41" s="99" t="n">
        <x:f>A40+1</x:f>
        <x:v>9</x:v>
      </x:c>
      <x:c r="B41" s="110" t="n">
        <x:f>IF(F40&lt;0,D40,B40)</x:f>
        <x:v>535.156250732422</x:v>
      </x:c>
      <x:c r="C41" s="110" t="n">
        <x:f>IF(F40&lt;0,C40,D40)</x:f>
        <x:v>539.0625007304689</x:v>
      </x:c>
      <x:c r="D41" s="110" t="n">
        <x:f>(B41+C41)/2</x:f>
        <x:v>537.1093757314454</x:v>
      </x:c>
      <x:c r="E41" s="110" t="n">
        <x:f>IF(D41&lt;=0,0,D41*EXP(-$C$9*($C$12-$C$11))*NORM.S.DIST((LN(D41/$C$7)+($C$8-$C$9+0.5*$C$10^2)*($C$12-$C$11))/($C$10*SQRT($C$12-$C$11)),TRUE)-$C$7*EXP(-$C$8*($C$12-$C$11))*NORM.S.DIST((LN(D41/$C$7)+($C$8-$C$9+0.5*$C$10^2)*($C$12-$C$11))/($C$10*SQRT($C$12-$C$11))-$C$10*SQRT($C$12-$C$11),TRUE))</x:f>
        <x:v>49.23685977911197</x:v>
      </x:c>
      <x:c r="F41" s="110" t="n">
        <x:f>E41-$C$6</x:f>
        <x:v>-0.7631402208880331</x:v>
      </x:c>
      <x:c r="G41" s="91"/>
      <x:c r="H41" s="91"/>
      <x:c r="I41" s="91"/>
      <x:c r="J41" s="91"/>
      <x:c r="K41" s="91"/>
      <x:c r="L41" s="99" t="n">
        <x:f>35</x:f>
        <x:v>35</x:v>
      </x:c>
      <x:c r="M41" s="100" t="n">
        <x:f>$C$14+(($H$8-$C$14)/$C$13)*L41</x:f>
        <x:v>-7.323013041819989</x:v>
      </x:c>
      <x:c r="N41" s="100" t="n">
        <x:f>IF(OR(L41=0,L41=$C$13),1,IF(MOD(L41,2)=0,2,4))</x:f>
        <x:v>4</x:v>
      </x:c>
      <x:c r="O41" s="100" t="n">
        <x:f>NORM.S.DIST(M41,FALSE)*NORM.S.DIST(($H$10-$H$7*M41)/SQRT(1-$H$7^2),TRUE)</x:f>
        <x:v>9.037726689553155e-13</x:v>
      </x:c>
      <x:c r="P41" s="100" t="n">
        <x:f>N41*O41</x:f>
        <x:v>3.615090675821262e-12</x:v>
      </x:c>
      <x:c r="Q41" s="100" t="n">
        <x:f>$C$14+(($H$9-$C$14)/$C$13)*L41</x:f>
        <x:v>-7.338325541819989</x:v>
      </x:c>
      <x:c r="R41" s="100" t="n">
        <x:f>NORM.S.DIST(Q41,FALSE)*NORM.S.DIST(($H$11-$H$7*Q41)/SQRT(1-$H$7^2),TRUE)</x:f>
        <x:v>8.078100811743962e-13</x:v>
      </x:c>
      <x:c r="S41" s="100" t="n">
        <x:f>N41*R41</x:f>
        <x:v>3.2312403246975848e-12</x:v>
      </x:c>
    </x:row>
    <x:row r="42">
      <x:c r="A42" s="99" t="n">
        <x:f>A41+1</x:f>
        <x:v>10</x:v>
      </x:c>
      <x:c r="B42" s="110" t="n">
        <x:f>IF(F41&lt;0,D41,B41)</x:f>
        <x:v>537.1093757314454</x:v>
      </x:c>
      <x:c r="C42" s="110" t="n">
        <x:f>IF(F41&lt;0,C41,D41)</x:f>
        <x:v>539.0625007304689</x:v>
      </x:c>
      <x:c r="D42" s="110" t="n">
        <x:f>(B42+C42)/2</x:f>
        <x:v>538.0859382309571</x:v>
      </x:c>
      <x:c r="E42" s="110" t="n">
        <x:f>IF(D42&lt;=0,0,D42*EXP(-$C$9*($C$12-$C$11))*NORM.S.DIST((LN(D42/$C$7)+($C$8-$C$9+0.5*$C$10^2)*($C$12-$C$11))/($C$10*SQRT($C$12-$C$11)),TRUE)-$C$7*EXP(-$C$8*($C$12-$C$11))*NORM.S.DIST((LN(D42/$C$7)+($C$8-$C$9+0.5*$C$10^2)*($C$12-$C$11))/($C$10*SQRT($C$12-$C$11))-$C$10*SQRT($C$12-$C$11),TRUE))</x:f>
        <x:v>49.853792994171215</x:v>
      </x:c>
      <x:c r="F42" s="110" t="n">
        <x:f>E42-$C$6</x:f>
        <x:v>-0.14620700582878499</x:v>
      </x:c>
      <x:c r="G42" s="91"/>
      <x:c r="H42" s="91"/>
      <x:c r="I42" s="91"/>
      <x:c r="J42" s="91"/>
      <x:c r="K42" s="91"/>
      <x:c r="L42" s="99" t="n">
        <x:f>36</x:f>
        <x:v>36</x:v>
      </x:c>
      <x:c r="M42" s="100" t="n">
        <x:f>$C$14+(($H$8-$C$14)/$C$13)*L42</x:f>
        <x:v>-7.303670557300561</x:v>
      </x:c>
      <x:c r="N42" s="100" t="n">
        <x:f>IF(OR(L42=0,L42=$C$13),1,IF(MOD(L42,2)=0,2,4))</x:f>
        <x:v>2</x:v>
      </x:c>
      <x:c r="O42" s="100" t="n">
        <x:f>NORM.S.DIST(M42,FALSE)*NORM.S.DIST(($H$10-$H$7*M42)/SQRT(1-$H$7^2),TRUE)</x:f>
        <x:v>1.0411030519221729e-12</x:v>
      </x:c>
      <x:c r="P42" s="100" t="n">
        <x:f>N42*O42</x:f>
        <x:v>2.0822061038443458e-12</x:v>
      </x:c>
      <x:c r="Q42" s="100" t="n">
        <x:f>$C$14+(($H$9-$C$14)/$C$13)*L42</x:f>
        <x:v>-7.31942055730056</x:v>
      </x:c>
      <x:c r="R42" s="100" t="n">
        <x:f>NORM.S.DIST(Q42,FALSE)*NORM.S.DIST(($H$11-$H$7*Q42)/SQRT(1-$H$7^2),TRUE)</x:f>
        <x:v>9.278584737195882e-13</x:v>
      </x:c>
      <x:c r="S42" s="100" t="n">
        <x:f>N42*R42</x:f>
        <x:v>1.8557169474391764e-12</x:v>
      </x:c>
    </x:row>
    <x:row r="43">
      <x:c r="A43" s="99" t="n">
        <x:f>A42+1</x:f>
        <x:v>11</x:v>
      </x:c>
      <x:c r="B43" s="110" t="n">
        <x:f>IF(F42&lt;0,D42,B42)</x:f>
        <x:v>538.0859382309571</x:v>
      </x:c>
      <x:c r="C43" s="110" t="n">
        <x:f>IF(F42&lt;0,C42,D42)</x:f>
        <x:v>539.0625007304689</x:v>
      </x:c>
      <x:c r="D43" s="110" t="n">
        <x:f>(B43+C43)/2</x:f>
        <x:v>538.574219480713</x:v>
      </x:c>
      <x:c r="E43" s="110" t="n">
        <x:f>IF(D43&lt;=0,0,D43*EXP(-$C$9*($C$12-$C$11))*NORM.S.DIST((LN(D43/$C$7)+($C$8-$C$9+0.5*$C$10^2)*($C$12-$C$11))/($C$10*SQRT($C$12-$C$11)),TRUE)-$C$7*EXP(-$C$8*($C$12-$C$11))*NORM.S.DIST((LN(D43/$C$7)+($C$8-$C$9+0.5*$C$10^2)*($C$12-$C$11))/($C$10*SQRT($C$12-$C$11))-$C$10*SQRT($C$12-$C$11),TRUE))</x:f>
        <x:v>50.16367321987684</x:v>
      </x:c>
      <x:c r="F43" s="110" t="n">
        <x:f>E43-$C$6</x:f>
        <x:v>0.16367321987684136</x:v>
      </x:c>
      <x:c r="G43" s="91"/>
      <x:c r="H43" s="91"/>
      <x:c r="I43" s="91"/>
      <x:c r="J43" s="91"/>
      <x:c r="K43" s="91"/>
      <x:c r="L43" s="99" t="n">
        <x:f>37</x:f>
        <x:v>37</x:v>
      </x:c>
      <x:c r="M43" s="100" t="n">
        <x:f>$C$14+(($H$8-$C$14)/$C$13)*L43</x:f>
        <x:v>-7.284328072781132</x:v>
      </x:c>
      <x:c r="N43" s="100" t="n">
        <x:f>IF(OR(L43=0,L43=$C$13),1,IF(MOD(L43,2)=0,2,4))</x:f>
        <x:v>4</x:v>
      </x:c>
      <x:c r="O43" s="100" t="n">
        <x:f>NORM.S.DIST(M43,FALSE)*NORM.S.DIST(($H$10-$H$7*M43)/SQRT(1-$H$7^2),TRUE)</x:f>
        <x:v>1.1988524969727923e-12</x:v>
      </x:c>
      <x:c r="P43" s="100" t="n">
        <x:f>N43*O43</x:f>
        <x:v>4.795409987891169e-12</x:v>
      </x:c>
      <x:c r="Q43" s="100" t="n">
        <x:f>$C$14+(($H$9-$C$14)/$C$13)*L43</x:f>
        <x:v>-7.300515572781132</x:v>
      </x:c>
      <x:c r="R43" s="100" t="n">
        <x:f>NORM.S.DIST(Q43,FALSE)*NORM.S.DIST(($H$11-$H$7*Q43)/SQRT(1-$H$7^2),TRUE)</x:f>
        <x:v>1.0653663903694195e-12</x:v>
      </x:c>
      <x:c r="S43" s="100" t="n">
        <x:f>N43*R43</x:f>
        <x:v>4.261465561477678e-12</x:v>
      </x:c>
    </x:row>
    <x:row r="44">
      <x:c r="A44" s="99" t="n">
        <x:f>A43+1</x:f>
        <x:v>12</x:v>
      </x:c>
      <x:c r="B44" s="110" t="n">
        <x:f>IF(F43&lt;0,D43,B43)</x:f>
        <x:v>538.0859382309571</x:v>
      </x:c>
      <x:c r="C44" s="110" t="n">
        <x:f>IF(F43&lt;0,C43,D43)</x:f>
        <x:v>538.574219480713</x:v>
      </x:c>
      <x:c r="D44" s="110" t="n">
        <x:f>(B44+C44)/2</x:f>
        <x:v>538.3300788558352</x:v>
      </x:c>
      <x:c r="E44" s="110" t="n">
        <x:f>IF(D44&lt;=0,0,D44*EXP(-$C$9*($C$12-$C$11))*NORM.S.DIST((LN(D44/$C$7)+($C$8-$C$9+0.5*$C$10^2)*($C$12-$C$11))/($C$10*SQRT($C$12-$C$11)),TRUE)-$C$7*EXP(-$C$8*($C$12-$C$11))*NORM.S.DIST((LN(D44/$C$7)+($C$8-$C$9+0.5*$C$10^2)*($C$12-$C$11))/($C$10*SQRT($C$12-$C$11))-$C$10*SQRT($C$12-$C$11),TRUE))</x:f>
        <x:v>50.00861557448633</x:v>
      </x:c>
      <x:c r="F44" s="110" t="n">
        <x:f>E44-$C$6</x:f>
        <x:v>0.00861557448632766</x:v>
      </x:c>
      <x:c r="G44" s="91"/>
      <x:c r="H44" s="91"/>
      <x:c r="I44" s="91"/>
      <x:c r="J44" s="91"/>
      <x:c r="K44" s="91"/>
      <x:c r="L44" s="99" t="n">
        <x:f>38</x:f>
        <x:v>38</x:v>
      </x:c>
      <x:c r="M44" s="100" t="n">
        <x:f>$C$14+(($H$8-$C$14)/$C$13)*L44</x:f>
        <x:v>-7.264985588261703</x:v>
      </x:c>
      <x:c r="N44" s="100" t="n">
        <x:f>IF(OR(L44=0,L44=$C$13),1,IF(MOD(L44,2)=0,2,4))</x:f>
        <x:v>2</x:v>
      </x:c>
      <x:c r="O44" s="100" t="n">
        <x:f>NORM.S.DIST(M44,FALSE)*NORM.S.DIST(($H$10-$H$7*M44)/SQRT(1-$H$7^2),TRUE)</x:f>
        <x:v>1.3799879729791851e-12</x:v>
      </x:c>
      <x:c r="P44" s="100" t="n">
        <x:f>N44*O44</x:f>
        <x:v>2.7599759459583703e-12</x:v>
      </x:c>
      <x:c r="Q44" s="100" t="n">
        <x:f>$C$14+(($H$9-$C$14)/$C$13)*L44</x:f>
        <x:v>-7.281610588261703</x:v>
      </x:c>
      <x:c r="R44" s="100" t="n">
        <x:f>NORM.S.DIST(Q44,FALSE)*NORM.S.DIST(($H$11-$H$7*Q44)/SQRT(1-$H$7^2),TRUE)</x:f>
        <x:v>1.222815764617495e-12</x:v>
      </x:c>
      <x:c r="S44" s="100" t="n">
        <x:f>N44*R44</x:f>
        <x:v>2.44563152923499e-12</x:v>
      </x:c>
    </x:row>
    <x:row r="45">
      <x:c r="A45" s="99" t="n">
        <x:f>A44+1</x:f>
        <x:v>13</x:v>
      </x:c>
      <x:c r="B45" s="110" t="n">
        <x:f>IF(F44&lt;0,D44,B44)</x:f>
        <x:v>538.0859382309571</x:v>
      </x:c>
      <x:c r="C45" s="110" t="n">
        <x:f>IF(F44&lt;0,C44,D44)</x:f>
        <x:v>538.3300788558352</x:v>
      </x:c>
      <x:c r="D45" s="110" t="n">
        <x:f>(B45+C45)/2</x:f>
        <x:v>538.2080085433961</x:v>
      </x:c>
      <x:c r="E45" s="110" t="n">
        <x:f>IF(D45&lt;=0,0,D45*EXP(-$C$9*($C$12-$C$11))*NORM.S.DIST((LN(D45/$C$7)+($C$8-$C$9+0.5*$C$10^2)*($C$12-$C$11))/($C$10*SQRT($C$12-$C$11)),TRUE)-$C$7*EXP(-$C$8*($C$12-$C$11))*NORM.S.DIST((LN(D45/$C$7)+($C$8-$C$9+0.5*$C$10^2)*($C$12-$C$11))/($C$10*SQRT($C$12-$C$11))-$C$10*SQRT($C$12-$C$11),TRUE))</x:f>
        <x:v>49.93117488095112</x:v>
      </x:c>
      <x:c r="F45" s="110" t="n">
        <x:f>E45-$C$6</x:f>
        <x:v>-0.06882511904888133</x:v>
      </x:c>
      <x:c r="G45" s="91"/>
      <x:c r="H45" s="91"/>
      <x:c r="I45" s="91"/>
      <x:c r="J45" s="91"/>
      <x:c r="K45" s="91"/>
      <x:c r="L45" s="99" t="n">
        <x:f>39</x:f>
        <x:v>39</x:v>
      </x:c>
      <x:c r="M45" s="100" t="n">
        <x:f>$C$14+(($H$8-$C$14)/$C$13)*L45</x:f>
        <x:v>-7.245643103742274</x:v>
      </x:c>
      <x:c r="N45" s="100" t="n">
        <x:f>IF(OR(L45=0,L45=$C$13),1,IF(MOD(L45,2)=0,2,4))</x:f>
        <x:v>4</x:v>
      </x:c>
      <x:c r="O45" s="100" t="n">
        <x:f>NORM.S.DIST(M45,FALSE)*NORM.S.DIST(($H$10-$H$7*M45)/SQRT(1-$H$7^2),TRUE)</x:f>
        <x:v>1.5878971430050414e-12</x:v>
      </x:c>
      <x:c r="P45" s="100" t="n">
        <x:f>N45*O45</x:f>
        <x:v>6.3515885720201654e-12</x:v>
      </x:c>
      <x:c r="Q45" s="100" t="n">
        <x:f>$C$14+(($H$9-$C$14)/$C$13)*L45</x:f>
        <x:v>-7.2627056037422735</x:v>
      </x:c>
      <x:c r="R45" s="100" t="n">
        <x:f>NORM.S.DIST(Q45,FALSE)*NORM.S.DIST(($H$11-$H$7*Q45)/SQRT(1-$H$7^2),TRUE)</x:f>
        <x:v>1.4030328843029007e-12</x:v>
      </x:c>
      <x:c r="S45" s="100" t="n">
        <x:f>N45*R45</x:f>
        <x:v>5.612131537211603e-12</x:v>
      </x:c>
    </x:row>
    <x:row r="46">
      <x:c r="A46" s="99" t="n">
        <x:f>A45+1</x:f>
        <x:v>14</x:v>
      </x:c>
      <x:c r="B46" s="110" t="n">
        <x:f>IF(F45&lt;0,D45,B45)</x:f>
        <x:v>538.2080085433961</x:v>
      </x:c>
      <x:c r="C46" s="110" t="n">
        <x:f>IF(F45&lt;0,C45,D45)</x:f>
        <x:v>538.3300788558352</x:v>
      </x:c>
      <x:c r="D46" s="110" t="n">
        <x:f>(B46+C46)/2</x:f>
        <x:v>538.2690436996156</x:v>
      </x:c>
      <x:c r="E46" s="110" t="n">
        <x:f>IF(D46&lt;=0,0,D46*EXP(-$C$9*($C$12-$C$11))*NORM.S.DIST((LN(D46/$C$7)+($C$8-$C$9+0.5*$C$10^2)*($C$12-$C$11))/($C$10*SQRT($C$12-$C$11)),TRUE)-$C$7*EXP(-$C$8*($C$12-$C$11))*NORM.S.DIST((LN(D46/$C$7)+($C$8-$C$9+0.5*$C$10^2)*($C$12-$C$11))/($C$10*SQRT($C$12-$C$11))-$C$10*SQRT($C$12-$C$11),TRUE))</x:f>
        <x:v>49.96988787940228</x:v>
      </x:c>
      <x:c r="F46" s="110" t="n">
        <x:f>E46-$C$6</x:f>
        <x:v>-0.03011212059772106</x:v>
      </x:c>
      <x:c r="G46" s="91"/>
      <x:c r="H46" s="91"/>
      <x:c r="I46" s="91"/>
      <x:c r="J46" s="91"/>
      <x:c r="K46" s="91"/>
      <x:c r="L46" s="99" t="n">
        <x:f>40</x:f>
        <x:v>40</x:v>
      </x:c>
      <x:c r="M46" s="100" t="n">
        <x:f>$C$14+(($H$8-$C$14)/$C$13)*L46</x:f>
        <x:v>-7.226300619222845</x:v>
      </x:c>
      <x:c r="N46" s="100" t="n">
        <x:f>IF(OR(L46=0,L46=$C$13),1,IF(MOD(L46,2)=0,2,4))</x:f>
        <x:v>2</x:v>
      </x:c>
      <x:c r="O46" s="100" t="n">
        <x:f>NORM.S.DIST(M46,FALSE)*NORM.S.DIST(($H$10-$H$7*M46)/SQRT(1-$H$7^2),TRUE)</x:f>
        <x:v>1.8264464766269832e-12</x:v>
      </x:c>
      <x:c r="P46" s="100" t="n">
        <x:f>N46*O46</x:f>
        <x:v>3.6528929532539665e-12</x:v>
      </x:c>
      <x:c r="Q46" s="100" t="n">
        <x:f>$C$14+(($H$9-$C$14)/$C$13)*L46</x:f>
        <x:v>-7.243800619222845</x:v>
      </x:c>
      <x:c r="R46" s="100" t="n">
        <x:f>NORM.S.DIST(Q46,FALSE)*NORM.S.DIST(($H$11-$H$7*Q46)/SQRT(1-$H$7^2),TRUE)</x:f>
        <x:v>1.6092349459313387e-12</x:v>
      </x:c>
      <x:c r="S46" s="100" t="n">
        <x:f>N46*R46</x:f>
        <x:v>3.2184698918626774e-12</x:v>
      </x:c>
    </x:row>
    <x:row r="47">
      <x:c r="A47" s="99" t="n">
        <x:f>A46+1</x:f>
        <x:v>15</x:v>
      </x:c>
      <x:c r="B47" s="110" t="n">
        <x:f>IF(F46&lt;0,D46,B46)</x:f>
        <x:v>538.2690436996156</x:v>
      </x:c>
      <x:c r="C47" s="110" t="n">
        <x:f>IF(F46&lt;0,C46,D46)</x:f>
        <x:v>538.3300788558352</x:v>
      </x:c>
      <x:c r="D47" s="110" t="n">
        <x:f>(B47+C47)/2</x:f>
        <x:v>538.2995612777254</x:v>
      </x:c>
      <x:c r="E47" s="110" t="n">
        <x:f>IF(D47&lt;=0,0,D47*EXP(-$C$9*($C$12-$C$11))*NORM.S.DIST((LN(D47/$C$7)+($C$8-$C$9+0.5*$C$10^2)*($C$12-$C$11))/($C$10*SQRT($C$12-$C$11)),TRUE)-$C$7*EXP(-$C$8*($C$12-$C$11))*NORM.S.DIST((LN(D47/$C$7)+($C$8-$C$9+0.5*$C$10^2)*($C$12-$C$11))/($C$10*SQRT($C$12-$C$11))-$C$10*SQRT($C$12-$C$11),TRUE))</x:f>
        <x:v>49.98924989018144</x:v>
      </x:c>
      <x:c r="F47" s="110" t="n">
        <x:f>E47-$C$6</x:f>
        <x:v>-0.010750109818559395</x:v>
      </x:c>
      <x:c r="G47" s="91"/>
      <x:c r="H47" s="91"/>
      <x:c r="I47" s="91"/>
      <x:c r="J47" s="91"/>
      <x:c r="K47" s="91"/>
      <x:c r="L47" s="99" t="n">
        <x:f>41</x:f>
        <x:v>41</x:v>
      </x:c>
      <x:c r="M47" s="100" t="n">
        <x:f>$C$14+(($H$8-$C$14)/$C$13)*L47</x:f>
        <x:v>-7.206958134703416</x:v>
      </x:c>
      <x:c r="N47" s="100" t="n">
        <x:f>IF(OR(L47=0,L47=$C$13),1,IF(MOD(L47,2)=0,2,4))</x:f>
        <x:v>4</x:v>
      </x:c>
      <x:c r="O47" s="100" t="n">
        <x:f>NORM.S.DIST(M47,FALSE)*NORM.S.DIST(($H$10-$H$7*M47)/SQRT(1-$H$7^2),TRUE)</x:f>
        <x:v>2.10004716718171e-12</x:v>
      </x:c>
      <x:c r="P47" s="100" t="n">
        <x:f>N47*O47</x:f>
        <x:v>8.40018866872684e-12</x:v>
      </x:c>
      <x:c r="Q47" s="100" t="n">
        <x:f>$C$14+(($H$9-$C$14)/$C$13)*L47</x:f>
        <x:v>-7.224895634703416</x:v>
      </x:c>
      <x:c r="R47" s="100" t="n">
        <x:f>NORM.S.DIST(Q47,FALSE)*NORM.S.DIST(($H$11-$H$7*Q47)/SQRT(1-$H$7^2),TRUE)</x:f>
        <x:v>1.845082729904854e-12</x:v>
      </x:c>
      <x:c r="S47" s="100" t="n">
        <x:f>N47*R47</x:f>
        <x:v>7.380330919619416e-12</x:v>
      </x:c>
    </x:row>
    <x:row r="48">
      <x:c r="A48" s="99" t="n">
        <x:f>A47+1</x:f>
        <x:v>16</x:v>
      </x:c>
      <x:c r="B48" s="110" t="n">
        <x:f>IF(F47&lt;0,D47,B47)</x:f>
        <x:v>538.2995612777254</x:v>
      </x:c>
      <x:c r="C48" s="110" t="n">
        <x:f>IF(F47&lt;0,C47,D47)</x:f>
        <x:v>538.3300788558352</x:v>
      </x:c>
      <x:c r="D48" s="110" t="n">
        <x:f>(B48+C48)/2</x:f>
        <x:v>538.3148200667803</x:v>
      </x:c>
      <x:c r="E48" s="110" t="n">
        <x:f>IF(D48&lt;=0,0,D48*EXP(-$C$9*($C$12-$C$11))*NORM.S.DIST((LN(D48/$C$7)+($C$8-$C$9+0.5*$C$10^2)*($C$12-$C$11))/($C$10*SQRT($C$12-$C$11)),TRUE)-$C$7*EXP(-$C$8*($C$12-$C$11))*NORM.S.DIST((LN(D48/$C$7)+($C$8-$C$9+0.5*$C$10^2)*($C$12-$C$11))/($C$10*SQRT($C$12-$C$11))-$C$10*SQRT($C$12-$C$11),TRUE))</x:f>
        <x:v>49.99893227318262</x:v>
      </x:c>
      <x:c r="F48" s="110" t="n">
        <x:f>E48-$C$6</x:f>
        <x:v>-0.0010677268173822085</x:v>
      </x:c>
      <x:c r="G48" s="91"/>
      <x:c r="H48" s="91"/>
      <x:c r="I48" s="91"/>
      <x:c r="J48" s="91"/>
      <x:c r="K48" s="91"/>
      <x:c r="L48" s="99" t="n">
        <x:f>42</x:f>
        <x:v>42</x:v>
      </x:c>
      <x:c r="M48" s="100" t="n">
        <x:f>$C$14+(($H$8-$C$14)/$C$13)*L48</x:f>
        <x:v>-7.187615650183987</x:v>
      </x:c>
      <x:c r="N48" s="100" t="n">
        <x:f>IF(OR(L48=0,L48=$C$13),1,IF(MOD(L48,2)=0,2,4))</x:f>
        <x:v>2</x:v>
      </x:c>
      <x:c r="O48" s="100" t="n">
        <x:f>NORM.S.DIST(M48,FALSE)*NORM.S.DIST(($H$10-$H$7*M48)/SQRT(1-$H$7^2),TRUE)</x:f>
        <x:v>2.4137298708046474e-12</x:v>
      </x:c>
      <x:c r="P48" s="100" t="n">
        <x:f>N48*O48</x:f>
        <x:v>4.827459741609295e-12</x:v>
      </x:c>
      <x:c r="Q48" s="100" t="n">
        <x:f>$C$14+(($H$9-$C$14)/$C$13)*L48</x:f>
        <x:v>-7.205990650183987</x:v>
      </x:c>
      <x:c r="R48" s="100" t="n">
        <x:f>NORM.S.DIST(Q48,FALSE)*NORM.S.DIST(($H$11-$H$7*Q48)/SQRT(1-$H$7^2),TRUE)</x:f>
        <x:v>2.1147401775388774e-12</x:v>
      </x:c>
      <x:c r="S48" s="100" t="n">
        <x:f>N48*R48</x:f>
        <x:v>4.229480355077755e-12</x:v>
      </x:c>
    </x:row>
    <x:row r="49">
      <x:c r="A49" s="99" t="n">
        <x:f>A48+1</x:f>
        <x:v>17</x:v>
      </x:c>
      <x:c r="B49" s="110" t="n">
        <x:f>IF(F48&lt;0,D48,B48)</x:f>
        <x:v>538.3148200667803</x:v>
      </x:c>
      <x:c r="C49" s="110" t="n">
        <x:f>IF(F48&lt;0,C48,D48)</x:f>
        <x:v>538.3300788558352</x:v>
      </x:c>
      <x:c r="D49" s="110" t="n">
        <x:f>(B49+C49)/2</x:f>
        <x:v>538.3224494613078</x:v>
      </x:c>
      <x:c r="E49" s="110" t="n">
        <x:f>IF(D49&lt;=0,0,D49*EXP(-$C$9*($C$12-$C$11))*NORM.S.DIST((LN(D49/$C$7)+($C$8-$C$9+0.5*$C$10^2)*($C$12-$C$11))/($C$10*SQRT($C$12-$C$11)),TRUE)-$C$7*EXP(-$C$8*($C$12-$C$11))*NORM.S.DIST((LN(D49/$C$7)+($C$8-$C$9+0.5*$C$10^2)*($C$12-$C$11))/($C$10*SQRT($C$12-$C$11))-$C$10*SQRT($C$12-$C$11),TRUE))</x:f>
        <x:v>50.00377380905172</x:v>
      </x:c>
      <x:c r="F49" s="110" t="n">
        <x:f>E49-$C$6</x:f>
        <x:v>0.00377380905172231</x:v>
      </x:c>
      <x:c r="G49" s="91"/>
      <x:c r="H49" s="91"/>
      <x:c r="I49" s="91"/>
      <x:c r="J49" s="91"/>
      <x:c r="K49" s="91"/>
      <x:c r="L49" s="99" t="n">
        <x:f>43</x:f>
        <x:v>43</x:v>
      </x:c>
      <x:c r="M49" s="100" t="n">
        <x:f>$C$14+(($H$8-$C$14)/$C$13)*L49</x:f>
        <x:v>-7.168273165664559</x:v>
      </x:c>
      <x:c r="N49" s="100" t="n">
        <x:f>IF(OR(L49=0,L49=$C$13),1,IF(MOD(L49,2)=0,2,4))</x:f>
        <x:v>4</x:v>
      </x:c>
      <x:c r="O49" s="100" t="n">
        <x:f>NORM.S.DIST(M49,FALSE)*NORM.S.DIST(($H$10-$H$7*M49)/SQRT(1-$H$7^2),TRUE)</x:f>
        <x:v>2.7732294122830722e-12</x:v>
      </x:c>
      <x:c r="P49" s="100" t="n">
        <x:f>N49*O49</x:f>
        <x:v>1.1092917649132289e-11</x:v>
      </x:c>
      <x:c r="Q49" s="100" t="n">
        <x:f>$C$14+(($H$9-$C$14)/$C$13)*L49</x:f>
        <x:v>-7.187085665664558</x:v>
      </x:c>
      <x:c r="R49" s="100" t="n">
        <x:f>NORM.S.DIST(Q49,FALSE)*NORM.S.DIST(($H$11-$H$7*Q49)/SQRT(1-$H$7^2),TRUE)</x:f>
        <x:v>2.4229417471448443e-12</x:v>
      </x:c>
      <x:c r="S49" s="100" t="n">
        <x:f>N49*R49</x:f>
        <x:v>9.691766988579377e-12</x:v>
      </x:c>
    </x:row>
    <x:row r="50">
      <x:c r="A50" s="99" t="n">
        <x:f>A49+1</x:f>
        <x:v>18</x:v>
      </x:c>
      <x:c r="B50" s="110" t="n">
        <x:f>IF(F49&lt;0,D49,B49)</x:f>
        <x:v>538.3148200667803</x:v>
      </x:c>
      <x:c r="C50" s="110" t="n">
        <x:f>IF(F49&lt;0,C49,D49)</x:f>
        <x:v>538.3224494613078</x:v>
      </x:c>
      <x:c r="D50" s="110" t="n">
        <x:f>(B50+C50)/2</x:f>
        <x:v>538.318634764044</x:v>
      </x:c>
      <x:c r="E50" s="110" t="n">
        <x:f>IF(D50&lt;=0,0,D50*EXP(-$C$9*($C$12-$C$11))*NORM.S.DIST((LN(D50/$C$7)+($C$8-$C$9+0.5*$C$10^2)*($C$12-$C$11))/($C$10*SQRT($C$12-$C$11)),TRUE)-$C$7*EXP(-$C$8*($C$12-$C$11))*NORM.S.DIST((LN(D50/$C$7)+($C$8-$C$9+0.5*$C$10^2)*($C$12-$C$11))/($C$10*SQRT($C$12-$C$11))-$C$10*SQRT($C$12-$C$11),TRUE))</x:f>
        <x:v>50.001353012420964</x:v>
      </x:c>
      <x:c r="F50" s="110" t="n">
        <x:f>E50-$C$6</x:f>
        <x:v>0.0013530124209637506</x:v>
      </x:c>
      <x:c r="G50" s="91"/>
      <x:c r="H50" s="91"/>
      <x:c r="I50" s="91"/>
      <x:c r="J50" s="91"/>
      <x:c r="K50" s="91"/>
      <x:c r="L50" s="99" t="n">
        <x:f>44</x:f>
        <x:v>44</x:v>
      </x:c>
      <x:c r="M50" s="100" t="n">
        <x:f>$C$14+(($H$8-$C$14)/$C$13)*L50</x:f>
        <x:v>-7.14893068114513</x:v>
      </x:c>
      <x:c r="N50" s="100" t="n">
        <x:f>IF(OR(L50=0,L50=$C$13),1,IF(MOD(L50,2)=0,2,4))</x:f>
        <x:v>2</x:v>
      </x:c>
      <x:c r="O50" s="100" t="n">
        <x:f>NORM.S.DIST(M50,FALSE)*NORM.S.DIST(($H$10-$H$7*M50)/SQRT(1-$H$7^2),TRUE)</x:f>
        <x:v>3.1850807464760975e-12</x:v>
      </x:c>
      <x:c r="P50" s="100" t="n">
        <x:f>N50*O50</x:f>
        <x:v>6.370161492952195e-12</x:v>
      </x:c>
      <x:c r="Q50" s="100" t="n">
        <x:f>$C$14+(($H$9-$C$14)/$C$13)*L50</x:f>
        <x:v>-7.168180681145129</x:v>
      </x:c>
      <x:c r="R50" s="100" t="n">
        <x:f>NORM.S.DIST(Q50,FALSE)*NORM.S.DIST(($H$11-$H$7*Q50)/SQRT(1-$H$7^2),TRUE)</x:f>
        <x:v>2.775068534332982e-12</x:v>
      </x:c>
      <x:c r="S50" s="100" t="n">
        <x:f>N50*R50</x:f>
        <x:v>5.550137068665964e-12</x:v>
      </x:c>
    </x:row>
    <x:row r="51">
      <x:c r="A51" s="99" t="n">
        <x:f>A50+1</x:f>
        <x:v>19</x:v>
      </x:c>
      <x:c r="B51" s="110" t="n">
        <x:f>IF(F50&lt;0,D50,B50)</x:f>
        <x:v>538.3148200667803</x:v>
      </x:c>
      <x:c r="C51" s="110" t="n">
        <x:f>IF(F50&lt;0,C50,D50)</x:f>
        <x:v>538.318634764044</x:v>
      </x:c>
      <x:c r="D51" s="110" t="n">
        <x:f>(B51+C51)/2</x:f>
        <x:v>538.3167274154121</x:v>
      </x:c>
      <x:c r="E51" s="110" t="n">
        <x:f>IF(D51&lt;=0,0,D51*EXP(-$C$9*($C$12-$C$11))*NORM.S.DIST((LN(D51/$C$7)+($C$8-$C$9+0.5*$C$10^2)*($C$12-$C$11))/($C$10*SQRT($C$12-$C$11)),TRUE)-$C$7*EXP(-$C$8*($C$12-$C$11))*NORM.S.DIST((LN(D51/$C$7)+($C$8-$C$9+0.5*$C$10^2)*($C$12-$C$11))/($C$10*SQRT($C$12-$C$11))-$C$10*SQRT($C$12-$C$11),TRUE))</x:f>
        <x:v>50.00014263562758</x:v>
      </x:c>
      <x:c r="F51" s="110" t="n">
        <x:f>E51-$C$6</x:f>
        <x:v>0.00014263562758287662</x:v>
      </x:c>
      <x:c r="G51" s="91"/>
      <x:c r="H51" s="91"/>
      <x:c r="I51" s="91"/>
      <x:c r="J51" s="91"/>
      <x:c r="K51" s="91"/>
      <x:c r="L51" s="99" t="n">
        <x:f>45</x:f>
        <x:v>45</x:v>
      </x:c>
      <x:c r="M51" s="100" t="n">
        <x:f>$C$14+(($H$8-$C$14)/$C$13)*L51</x:f>
        <x:v>-7.129588196625701</x:v>
      </x:c>
      <x:c r="N51" s="100" t="n">
        <x:f>IF(OR(L51=0,L51=$C$13),1,IF(MOD(L51,2)=0,2,4))</x:f>
        <x:v>4</x:v>
      </x:c>
      <x:c r="O51" s="100" t="n">
        <x:f>NORM.S.DIST(M51,FALSE)*NORM.S.DIST(($H$10-$H$7*M51)/SQRT(1-$H$7^2),TRUE)</x:f>
        <x:v>3.656727625169606e-12</x:v>
      </x:c>
      <x:c r="P51" s="100" t="n">
        <x:f>N51*O51</x:f>
        <x:v>1.4626910500678423e-11</x:v>
      </x:c>
      <x:c r="Q51" s="100" t="n">
        <x:f>$C$14+(($H$9-$C$14)/$C$13)*L51</x:f>
        <x:v>-7.1492756966257005</x:v>
      </x:c>
      <x:c r="R51" s="100" t="n">
        <x:f>NORM.S.DIST(Q51,FALSE)*NORM.S.DIST(($H$11-$H$7*Q51)/SQRT(1-$H$7^2),TRUE)</x:f>
        <x:v>3.1772342623560793e-12</x:v>
      </x:c>
      <x:c r="S51" s="100" t="n">
        <x:f>N51*R51</x:f>
        <x:v>1.2708937049424317e-11</x:v>
      </x:c>
    </x:row>
    <x:row r="52">
      <x:c r="A52" s="99" t="n">
        <x:f>A51+1</x:f>
        <x:v>20</x:v>
      </x:c>
      <x:c r="B52" s="110" t="n">
        <x:f>IF(F51&lt;0,D51,B51)</x:f>
        <x:v>538.3148200667803</x:v>
      </x:c>
      <x:c r="C52" s="110" t="n">
        <x:f>IF(F51&lt;0,C51,D51)</x:f>
        <x:v>538.3167274154121</x:v>
      </x:c>
      <x:c r="D52" s="110" t="n">
        <x:f>(B52+C52)/2</x:f>
        <x:v>538.3157737410961</x:v>
      </x:c>
      <x:c r="E52" s="110" t="n">
        <x:f>IF(D52&lt;=0,0,D52*EXP(-$C$9*($C$12-$C$11))*NORM.S.DIST((LN(D52/$C$7)+($C$8-$C$9+0.5*$C$10^2)*($C$12-$C$11))/($C$10*SQRT($C$12-$C$11)),TRUE)-$C$7*EXP(-$C$8*($C$12-$C$11))*NORM.S.DIST((LN(D52/$C$7)+($C$8-$C$9+0.5*$C$10^2)*($C$12-$C$11))/($C$10*SQRT($C$12-$C$11))-$C$10*SQRT($C$12-$C$11),TRUE))</x:f>
        <x:v>49.99953745261149</x:v>
      </x:c>
      <x:c r="F52" s="110" t="n">
        <x:f>E52-$C$6</x:f>
        <x:v>-0.000462547388508483</x:v>
      </x:c>
      <x:c r="G52" s="91"/>
      <x:c r="H52" s="91"/>
      <x:c r="I52" s="91"/>
      <x:c r="J52" s="91"/>
      <x:c r="K52" s="91"/>
      <x:c r="L52" s="99" t="n">
        <x:f>46</x:f>
        <x:v>46</x:v>
      </x:c>
      <x:c r="M52" s="100" t="n">
        <x:f>$C$14+(($H$8-$C$14)/$C$13)*L52</x:f>
        <x:v>-7.110245712106272</x:v>
      </x:c>
      <x:c r="N52" s="100" t="n">
        <x:f>IF(OR(L52=0,L52=$C$13),1,IF(MOD(L52,2)=0,2,4))</x:f>
        <x:v>2</x:v>
      </x:c>
      <x:c r="O52" s="100" t="n">
        <x:f>NORM.S.DIST(M52,FALSE)*NORM.S.DIST(($H$10-$H$7*M52)/SQRT(1-$H$7^2),TRUE)</x:f>
        <x:v>4.196645599757656e-12</x:v>
      </x:c>
      <x:c r="P52" s="100" t="n">
        <x:f>N52*O52</x:f>
        <x:v>8.393291199515312e-12</x:v>
      </x:c>
      <x:c r="Q52" s="100" t="n">
        <x:f>$C$14+(($H$9-$C$14)/$C$13)*L52</x:f>
        <x:v>-7.130370712106272</x:v>
      </x:c>
      <x:c r="R52" s="100" t="n">
        <x:f>NORM.S.DIST(Q52,FALSE)*NORM.S.DIST(($H$11-$H$7*Q52)/SQRT(1-$H$7^2),TRUE)</x:f>
        <x:v>3.636382383225557e-12</x:v>
      </x:c>
      <x:c r="S52" s="100" t="n">
        <x:f>N52*R52</x:f>
        <x:v>7.272764766451114e-12</x:v>
      </x:c>
    </x:row>
    <x:row r="53">
      <x:c r="A53" s="99" t="n">
        <x:f>A52+1</x:f>
        <x:v>21</x:v>
      </x:c>
      <x:c r="B53" s="110" t="n">
        <x:f>IF(F52&lt;0,D52,B52)</x:f>
        <x:v>538.3157737410961</x:v>
      </x:c>
      <x:c r="C53" s="110" t="n">
        <x:f>IF(F52&lt;0,C52,D52)</x:f>
        <x:v>538.3167274154121</x:v>
      </x:c>
      <x:c r="D53" s="110" t="n">
        <x:f>(B53+C53)/2</x:f>
        <x:v>538.3162505782541</x:v>
      </x:c>
      <x:c r="E53" s="110" t="n">
        <x:f>IF(D53&lt;=0,0,D53*EXP(-$C$9*($C$12-$C$11))*NORM.S.DIST((LN(D53/$C$7)+($C$8-$C$9+0.5*$C$10^2)*($C$12-$C$11))/($C$10*SQRT($C$12-$C$11)),TRUE)-$C$7*EXP(-$C$8*($C$12-$C$11))*NORM.S.DIST((LN(D53/$C$7)+($C$8-$C$9+0.5*$C$10^2)*($C$12-$C$11))/($C$10*SQRT($C$12-$C$11))-$C$10*SQRT($C$12-$C$11),TRUE))</x:f>
        <x:v>49.999840043671156</x:v>
      </x:c>
      <x:c r="F53" s="110" t="n">
        <x:f>E53-$C$6</x:f>
        <x:v>-0.00015995632884369115</x:v>
      </x:c>
      <x:c r="G53" s="91"/>
      <x:c r="H53" s="91"/>
      <x:c r="I53" s="91"/>
      <x:c r="J53" s="91"/>
      <x:c r="K53" s="91"/>
      <x:c r="L53" s="99" t="n">
        <x:f>47</x:f>
        <x:v>47</x:v>
      </x:c>
      <x:c r="M53" s="100" t="n">
        <x:f>$C$14+(($H$8-$C$14)/$C$13)*L53</x:f>
        <x:v>-7.090903227586843</x:v>
      </x:c>
      <x:c r="N53" s="100" t="n">
        <x:f>IF(OR(L53=0,L53=$C$13),1,IF(MOD(L53,2)=0,2,4))</x:f>
        <x:v>4</x:v>
      </x:c>
      <x:c r="O53" s="100" t="n">
        <x:f>NORM.S.DIST(M53,FALSE)*NORM.S.DIST(($H$10-$H$7*M53)/SQRT(1-$H$7^2),TRUE)</x:f>
        <x:v>4.814481192310842e-12</x:v>
      </x:c>
      <x:c r="P53" s="100" t="n">
        <x:f>N53*O53</x:f>
        <x:v>1.9257924769243367e-11</x:v>
      </x:c>
      <x:c r="Q53" s="100" t="n">
        <x:f>$C$14+(($H$9-$C$14)/$C$13)*L53</x:f>
        <x:v>-7.111465727586843</x:v>
      </x:c>
      <x:c r="R53" s="100" t="n">
        <x:f>NORM.S.DIST(Q53,FALSE)*NORM.S.DIST(($H$11-$H$7*Q53)/SQRT(1-$H$7^2),TRUE)</x:f>
        <x:v>4.1603956811007315e-12</x:v>
      </x:c>
      <x:c r="S53" s="100" t="n">
        <x:f>N53*R53</x:f>
        <x:v>1.6641582724402926e-11</x:v>
      </x:c>
    </x:row>
    <x:row r="54">
      <x:c r="A54" s="99" t="n">
        <x:f>A53+1</x:f>
        <x:v>22</x:v>
      </x:c>
      <x:c r="B54" s="110" t="n">
        <x:f>IF(F53&lt;0,D53,B53)</x:f>
        <x:v>538.3162505782541</x:v>
      </x:c>
      <x:c r="C54" s="110" t="n">
        <x:f>IF(F53&lt;0,C53,D53)</x:f>
        <x:v>538.3167274154121</x:v>
      </x:c>
      <x:c r="D54" s="110" t="n">
        <x:f>(B54+C54)/2</x:f>
        <x:v>538.3164889968331</x:v>
      </x:c>
      <x:c r="E54" s="110" t="n">
        <x:f>IF(D54&lt;=0,0,D54*EXP(-$C$9*($C$12-$C$11))*NORM.S.DIST((LN(D54/$C$7)+($C$8-$C$9+0.5*$C$10^2)*($C$12-$C$11))/($C$10*SQRT($C$12-$C$11)),TRUE)-$C$7*EXP(-$C$8*($C$12-$C$11))*NORM.S.DIST((LN(D54/$C$7)+($C$8-$C$9+0.5*$C$10^2)*($C$12-$C$11))/($C$10*SQRT($C$12-$C$11))-$C$10*SQRT($C$12-$C$11),TRUE))</x:f>
        <x:v>49.99999133953719</x:v>
      </x:c>
      <x:c r="F54" s="110" t="n">
        <x:f>E54-$C$6</x:f>
        <x:v>-0.000008660462810894387</x:v>
      </x:c>
      <x:c r="G54" s="91"/>
      <x:c r="H54" s="91"/>
      <x:c r="I54" s="91"/>
      <x:c r="J54" s="91"/>
      <x:c r="K54" s="91"/>
      <x:c r="L54" s="99" t="n">
        <x:f>48</x:f>
        <x:v>48</x:v>
      </x:c>
      <x:c r="M54" s="100" t="n">
        <x:f>$C$14+(($H$8-$C$14)/$C$13)*L54</x:f>
        <x:v>-7.071560743067414</x:v>
      </x:c>
      <x:c r="N54" s="100" t="n">
        <x:f>IF(OR(L54=0,L54=$C$13),1,IF(MOD(L54,2)=0,2,4))</x:f>
        <x:v>2</x:v>
      </x:c>
      <x:c r="O54" s="100" t="n">
        <x:f>NORM.S.DIST(M54,FALSE)*NORM.S.DIST(($H$10-$H$7*M54)/SQRT(1-$H$7^2),TRUE)</x:f>
        <x:v>5.521209293899683e-12</x:v>
      </x:c>
      <x:c r="P54" s="100" t="n">
        <x:f>N54*O54</x:f>
        <x:v>1.1042418587799366e-11</x:v>
      </x:c>
      <x:c r="Q54" s="100" t="n">
        <x:f>$C$14+(($H$9-$C$14)/$C$13)*L54</x:f>
        <x:v>-7.092560743067414</x:v>
      </x:c>
      <x:c r="R54" s="100" t="n">
        <x:f>NORM.S.DIST(Q54,FALSE)*NORM.S.DIST(($H$11-$H$7*Q54)/SQRT(1-$H$7^2),TRUE)</x:f>
        <x:v>4.758219937869089e-12</x:v>
      </x:c>
      <x:c r="S54" s="100" t="n">
        <x:f>N54*R54</x:f>
        <x:v>9.516439875738178e-12</x:v>
      </x:c>
    </x:row>
    <x:row r="55">
      <x:c r="A55" s="99" t="n">
        <x:f>A54+1</x:f>
        <x:v>23</x:v>
      </x:c>
      <x:c r="B55" s="110" t="n">
        <x:f>IF(F54&lt;0,D54,B54)</x:f>
        <x:v>538.3164889968331</x:v>
      </x:c>
      <x:c r="C55" s="110" t="n">
        <x:f>IF(F54&lt;0,C54,D54)</x:f>
        <x:v>538.3167274154121</x:v>
      </x:c>
      <x:c r="D55" s="110" t="n">
        <x:f>(B55+C55)/2</x:f>
        <x:v>538.3166082061225</x:v>
      </x:c>
      <x:c r="E55" s="110" t="n">
        <x:f>IF(D55&lt;=0,0,D55*EXP(-$C$9*($C$12-$C$11))*NORM.S.DIST((LN(D55/$C$7)+($C$8-$C$9+0.5*$C$10^2)*($C$12-$C$11))/($C$10*SQRT($C$12-$C$11)),TRUE)-$C$7*EXP(-$C$8*($C$12-$C$11))*NORM.S.DIST((LN(D55/$C$7)+($C$8-$C$9+0.5*$C$10^2)*($C$12-$C$11))/($C$10*SQRT($C$12-$C$11))-$C$10*SQRT($C$12-$C$11),TRUE))</x:f>
        <x:v>50.00006698755442</x:v>
      </x:c>
      <x:c r="F55" s="110" t="n">
        <x:f>E55-$C$6</x:f>
        <x:v>0.00006698755441902904</x:v>
      </x:c>
      <x:c r="G55" s="91"/>
      <x:c r="H55" s="91"/>
      <x:c r="I55" s="91"/>
      <x:c r="J55" s="91"/>
      <x:c r="K55" s="91"/>
      <x:c r="L55" s="99" t="n">
        <x:f>49</x:f>
        <x:v>49</x:v>
      </x:c>
      <x:c r="M55" s="100" t="n">
        <x:f>$C$14+(($H$8-$C$14)/$C$13)*L55</x:f>
        <x:v>-7.052218258547985</x:v>
      </x:c>
      <x:c r="N55" s="100" t="n">
        <x:f>IF(OR(L55=0,L55=$C$13),1,IF(MOD(L55,2)=0,2,4))</x:f>
        <x:v>4</x:v>
      </x:c>
      <x:c r="O55" s="100" t="n">
        <x:f>NORM.S.DIST(M55,FALSE)*NORM.S.DIST(($H$10-$H$7*M55)/SQRT(1-$H$7^2),TRUE)</x:f>
        <x:v>6.329311102245283e-12</x:v>
      </x:c>
      <x:c r="P55" s="100" t="n">
        <x:f>N55*O55</x:f>
        <x:v>2.531724440898113e-11</x:v>
      </x:c>
      <x:c r="Q55" s="100" t="n">
        <x:f>$C$14+(($H$9-$C$14)/$C$13)*L55</x:f>
        <x:v>-7.073655758547985</x:v>
      </x:c>
      <x:c r="R55" s="100" t="n">
        <x:f>NORM.S.DIST(Q55,FALSE)*NORM.S.DIST(($H$11-$H$7*Q55)/SQRT(1-$H$7^2),TRUE)</x:f>
        <x:v>5.440003408878349e-12</x:v>
      </x:c>
      <x:c r="S55" s="100" t="n">
        <x:f>N55*R55</x:f>
        <x:v>2.1760013635513396e-11</x:v>
      </x:c>
    </x:row>
    <x:row r="56">
      <x:c r="A56" s="99" t="n">
        <x:f>A55+1</x:f>
        <x:v>24</x:v>
      </x:c>
      <x:c r="B56" s="110" t="n">
        <x:f>IF(F55&lt;0,D55,B55)</x:f>
        <x:v>538.3164889968331</x:v>
      </x:c>
      <x:c r="C56" s="110" t="n">
        <x:f>IF(F55&lt;0,C55,D55)</x:f>
        <x:v>538.3166082061225</x:v>
      </x:c>
      <x:c r="D56" s="110" t="n">
        <x:f>(B56+C56)/2</x:f>
        <x:v>538.3165486014777</x:v>
      </x:c>
      <x:c r="E56" s="110" t="n">
        <x:f>IF(D56&lt;=0,0,D56*EXP(-$C$9*($C$12-$C$11))*NORM.S.DIST((LN(D56/$C$7)+($C$8-$C$9+0.5*$C$10^2)*($C$12-$C$11))/($C$10*SQRT($C$12-$C$11)),TRUE)-$C$7*EXP(-$C$8*($C$12-$C$11))*NORM.S.DIST((LN(D56/$C$7)+($C$8-$C$9+0.5*$C$10^2)*($C$12-$C$11))/($C$10*SQRT($C$12-$C$11))-$C$10*SQRT($C$12-$C$11),TRUE))</x:f>
        <x:v>50.000029163538784</x:v>
      </x:c>
      <x:c r="F56" s="110" t="n">
        <x:f>E56-$C$6</x:f>
        <x:v>0.000029163538783905096</x:v>
      </x:c>
      <x:c r="G56" s="91"/>
      <x:c r="H56" s="91"/>
      <x:c r="I56" s="91"/>
      <x:c r="J56" s="91"/>
      <x:c r="K56" s="91"/>
      <x:c r="L56" s="99" t="n">
        <x:f>50</x:f>
        <x:v>50</x:v>
      </x:c>
      <x:c r="M56" s="100" t="n">
        <x:f>$C$14+(($H$8-$C$14)/$C$13)*L56</x:f>
        <x:v>-7.032875774028556</x:v>
      </x:c>
      <x:c r="N56" s="100" t="n">
        <x:f>IF(OR(L56=0,L56=$C$13),1,IF(MOD(L56,2)=0,2,4))</x:f>
        <x:v>2</x:v>
      </x:c>
      <x:c r="O56" s="100" t="n">
        <x:f>NORM.S.DIST(M56,FALSE)*NORM.S.DIST(($H$10-$H$7*M56)/SQRT(1-$H$7^2),TRUE)</x:f>
        <x:v>7.252975193935329e-12</x:v>
      </x:c>
      <x:c r="P56" s="100" t="n">
        <x:f>N56*O56</x:f>
        <x:v>1.4505950387870658e-11</x:v>
      </x:c>
      <x:c r="Q56" s="100" t="n">
        <x:f>$C$14+(($H$9-$C$14)/$C$13)*L56</x:f>
        <x:v>-7.054750774028556</x:v>
      </x:c>
      <x:c r="R56" s="100" t="n">
        <x:f>NORM.S.DIST(Q56,FALSE)*NORM.S.DIST(($H$11-$H$7*Q56)/SQRT(1-$H$7^2),TRUE)</x:f>
        <x:v>6.2172540666459156e-12</x:v>
      </x:c>
      <x:c r="S56" s="100" t="n">
        <x:f>N56*R56</x:f>
        <x:v>1.2434508133291831e-11</x:v>
      </x:c>
    </x:row>
    <x:row r="57">
      <x:c r="A57" s="99" t="n">
        <x:f>A56+1</x:f>
        <x:v>25</x:v>
      </x:c>
      <x:c r="B57" s="110" t="n">
        <x:f>IF(F56&lt;0,D56,B56)</x:f>
        <x:v>538.3164889968331</x:v>
      </x:c>
      <x:c r="C57" s="110" t="n">
        <x:f>IF(F56&lt;0,C56,D56)</x:f>
        <x:v>538.3165486014777</x:v>
      </x:c>
      <x:c r="D57" s="110" t="n">
        <x:f>(B57+C57)/2</x:f>
        <x:v>538.3165187991553</x:v>
      </x:c>
      <x:c r="E57" s="110" t="n">
        <x:f>IF(D57&lt;=0,0,D57*EXP(-$C$9*($C$12-$C$11))*NORM.S.DIST((LN(D57/$C$7)+($C$8-$C$9+0.5*$C$10^2)*($C$12-$C$11))/($C$10*SQRT($C$12-$C$11)),TRUE)-$C$7*EXP(-$C$8*($C$12-$C$11))*NORM.S.DIST((LN(D57/$C$7)+($C$8-$C$9+0.5*$C$10^2)*($C$12-$C$11))/($C$10*SQRT($C$12-$C$11))-$C$10*SQRT($C$12-$C$11),TRUE))</x:f>
        <x:v>50.00001025153631</x:v>
      </x:c>
      <x:c r="F57" s="110" t="n">
        <x:f>E57-$C$6</x:f>
        <x:v>0.000010251536309624498</x:v>
      </x:c>
      <x:c r="G57" s="91"/>
      <x:c r="H57" s="91"/>
      <x:c r="I57" s="91"/>
      <x:c r="J57" s="91"/>
      <x:c r="K57" s="91"/>
      <x:c r="L57" s="99" t="n">
        <x:f>51</x:f>
        <x:v>51</x:v>
      </x:c>
      <x:c r="M57" s="100" t="n">
        <x:f>$C$14+(($H$8-$C$14)/$C$13)*L57</x:f>
        <x:v>-7.013533289509128</x:v>
      </x:c>
      <x:c r="N57" s="100" t="n">
        <x:f>IF(OR(L57=0,L57=$C$13),1,IF(MOD(L57,2)=0,2,4))</x:f>
        <x:v>4</x:v>
      </x:c>
      <x:c r="O57" s="100" t="n">
        <x:f>NORM.S.DIST(M57,FALSE)*NORM.S.DIST(($H$10-$H$7*M57)/SQRT(1-$H$7^2),TRUE)</x:f>
        <x:v>8.308324642963518e-12</x:v>
      </x:c>
      <x:c r="P57" s="100" t="n">
        <x:f>N57*O57</x:f>
        <x:v>3.323329857185407e-11</x:v>
      </x:c>
      <x:c r="Q57" s="100" t="n">
        <x:f>$C$14+(($H$9-$C$14)/$C$13)*L57</x:f>
        <x:v>-7.0358457895091275</x:v>
      </x:c>
      <x:c r="R57" s="100" t="n">
        <x:f>NORM.S.DIST(Q57,FALSE)*NORM.S.DIST(($H$11-$H$7*Q57)/SQRT(1-$H$7^2),TRUE)</x:f>
        <x:v>7.103016804478511e-12</x:v>
      </x:c>
      <x:c r="S57" s="100" t="n">
        <x:f>N57*R57</x:f>
        <x:v>2.8412067217914043e-11</x:v>
      </x:c>
    </x:row>
    <x:row r="58">
      <x:c r="A58" s="99" t="n">
        <x:f>A57+1</x:f>
        <x:v>26</x:v>
      </x:c>
      <x:c r="B58" s="110" t="n">
        <x:f>IF(F57&lt;0,D57,B57)</x:f>
        <x:v>538.3164889968331</x:v>
      </x:c>
      <x:c r="C58" s="110" t="n">
        <x:f>IF(F57&lt;0,C57,D57)</x:f>
        <x:v>538.3165187991553</x:v>
      </x:c>
      <x:c r="D58" s="110" t="n">
        <x:f>(B58+C58)/2</x:f>
        <x:v>538.3165038979942</x:v>
      </x:c>
      <x:c r="E58" s="110" t="n">
        <x:f>IF(D58&lt;=0,0,D58*EXP(-$C$9*($C$12-$C$11))*NORM.S.DIST((LN(D58/$C$7)+($C$8-$C$9+0.5*$C$10^2)*($C$12-$C$11))/($C$10*SQRT($C$12-$C$11)),TRUE)-$C$7*EXP(-$C$8*($C$12-$C$11))*NORM.S.DIST((LN(D58/$C$7)+($C$8-$C$9+0.5*$C$10^2)*($C$12-$C$11))/($C$10*SQRT($C$12-$C$11))-$C$10*SQRT($C$12-$C$11),TRUE))</x:f>
        <x:v>50.000000795536266</x:v>
      </x:c>
      <x:c r="F58" s="110" t="n">
        <x:f>E58-$C$6</x:f>
        <x:v>7.955362661959953e-7</x:v>
      </x:c>
      <x:c r="G58" s="91"/>
      <x:c r="H58" s="91"/>
      <x:c r="I58" s="91"/>
      <x:c r="J58" s="91"/>
      <x:c r="K58" s="91"/>
      <x:c r="L58" s="99" t="n">
        <x:f>52</x:f>
        <x:v>52</x:v>
      </x:c>
      <x:c r="M58" s="100" t="n">
        <x:f>$C$14+(($H$8-$C$14)/$C$13)*L58</x:f>
        <x:v>-6.994190804989699</x:v>
      </x:c>
      <x:c r="N58" s="100" t="n">
        <x:f>IF(OR(L58=0,L58=$C$13),1,IF(MOD(L58,2)=0,2,4))</x:f>
        <x:v>2</x:v>
      </x:c>
      <x:c r="O58" s="100" t="n">
        <x:f>NORM.S.DIST(M58,FALSE)*NORM.S.DIST(($H$10-$H$7*M58)/SQRT(1-$H$7^2),TRUE)</x:f>
        <x:v>9.513673450986838e-12</x:v>
      </x:c>
      <x:c r="P58" s="100" t="n">
        <x:f>N58*O58</x:f>
        <x:v>1.9027346901973677e-11</x:v>
      </x:c>
      <x:c r="Q58" s="100" t="n">
        <x:f>$C$14+(($H$9-$C$14)/$C$13)*L58</x:f>
        <x:v>-7.016940804989698</x:v>
      </x:c>
      <x:c r="R58" s="100" t="n">
        <x:f>NORM.S.DIST(Q58,FALSE)*NORM.S.DIST(($H$11-$H$7*Q58)/SQRT(1-$H$7^2),TRUE)</x:f>
        <x:v>8.112073052972887e-12</x:v>
      </x:c>
      <x:c r="S58" s="100" t="n">
        <x:f>N58*R58</x:f>
        <x:v>1.6224146105945773e-11</x:v>
      </x:c>
    </x:row>
    <x:row r="59">
      <x:c r="A59" s="99" t="n">
        <x:f>A58+1</x:f>
        <x:v>27</x:v>
      </x:c>
      <x:c r="B59" s="110" t="n">
        <x:f>IF(F58&lt;0,D58,B58)</x:f>
        <x:v>538.3164889968331</x:v>
      </x:c>
      <x:c r="C59" s="110" t="n">
        <x:f>IF(F58&lt;0,C58,D58)</x:f>
        <x:v>538.3165038979942</x:v>
      </x:c>
      <x:c r="D59" s="110" t="n">
        <x:f>(B59+C59)/2</x:f>
        <x:v>538.3164964474136</x:v>
      </x:c>
      <x:c r="E59" s="110" t="n">
        <x:f>IF(D59&lt;=0,0,D59*EXP(-$C$9*($C$12-$C$11))*NORM.S.DIST((LN(D59/$C$7)+($C$8-$C$9+0.5*$C$10^2)*($C$12-$C$11))/($C$10*SQRT($C$12-$C$11)),TRUE)-$C$7*EXP(-$C$8*($C$12-$C$11))*NORM.S.DIST((LN(D59/$C$7)+($C$8-$C$9+0.5*$C$10^2)*($C$12-$C$11))/($C$10*SQRT($C$12-$C$11))-$C$10*SQRT($C$12-$C$11),TRUE))</x:f>
        <x:v>49.999996067536586</x:v>
      </x:c>
      <x:c r="F59" s="110" t="n">
        <x:f>E59-$C$6</x:f>
        <x:v>-0.000003932463414457743</x:v>
      </x:c>
      <x:c r="G59" s="91"/>
      <x:c r="H59" s="91"/>
      <x:c r="I59" s="91"/>
      <x:c r="J59" s="91"/>
      <x:c r="K59" s="91"/>
      <x:c r="L59" s="99" t="n">
        <x:f>53</x:f>
        <x:v>53</x:v>
      </x:c>
      <x:c r="M59" s="100" t="n">
        <x:f>$C$14+(($H$8-$C$14)/$C$13)*L59</x:f>
        <x:v>-6.97484832047027</x:v>
      </x:c>
      <x:c r="N59" s="100" t="n">
        <x:f>IF(OR(L59=0,L59=$C$13),1,IF(MOD(L59,2)=0,2,4))</x:f>
        <x:v>4</x:v>
      </x:c>
      <x:c r="O59" s="100" t="n">
        <x:f>NORM.S.DIST(M59,FALSE)*NORM.S.DIST(($H$10-$H$7*M59)/SQRT(1-$H$7^2),TRUE)</x:f>
        <x:v>1.088981594960816e-11</x:v>
      </x:c>
      <x:c r="P59" s="100" t="n">
        <x:f>N59*O59</x:f>
        <x:v>4.355926379843264e-11</x:v>
      </x:c>
      <x:c r="Q59" s="100" t="n">
        <x:f>$C$14+(($H$9-$C$14)/$C$13)*L59</x:f>
        <x:v>-6.998035820470269</x:v>
      </x:c>
      <x:c r="R59" s="100" t="n">
        <x:f>NORM.S.DIST(Q59,FALSE)*NORM.S.DIST(($H$11-$H$7*Q59)/SQRT(1-$H$7^2),TRUE)</x:f>
        <x:v>9.261165553295969e-12</x:v>
      </x:c>
      <x:c r="S59" s="100" t="n">
        <x:f>N59*R59</x:f>
        <x:v>3.7044662213183875e-11</x:v>
      </x:c>
    </x:row>
    <x:row r="60">
      <x:c r="A60" s="99" t="n">
        <x:f>A59+1</x:f>
        <x:v>28</x:v>
      </x:c>
      <x:c r="B60" s="110" t="n">
        <x:f>IF(F59&lt;0,D59,B59)</x:f>
        <x:v>538.3164964474136</x:v>
      </x:c>
      <x:c r="C60" s="110" t="n">
        <x:f>IF(F59&lt;0,C59,D59)</x:f>
        <x:v>538.3165038979942</x:v>
      </x:c>
      <x:c r="D60" s="110" t="n">
        <x:f>(B60+C60)/2</x:f>
        <x:v>538.3165001727039</x:v>
      </x:c>
      <x:c r="E60" s="110" t="n">
        <x:f>IF(D60&lt;=0,0,D60*EXP(-$C$9*($C$12-$C$11))*NORM.S.DIST((LN(D60/$C$7)+($C$8-$C$9+0.5*$C$10^2)*($C$12-$C$11))/($C$10*SQRT($C$12-$C$11)),TRUE)-$C$7*EXP(-$C$8*($C$12-$C$11))*NORM.S.DIST((LN(D60/$C$7)+($C$8-$C$9+0.5*$C$10^2)*($C$12-$C$11))/($C$10*SQRT($C$12-$C$11))-$C$10*SQRT($C$12-$C$11),TRUE))</x:f>
        <x:v>49.999998431536426</x:v>
      </x:c>
      <x:c r="F60" s="110" t="n">
        <x:f>E60-$C$6</x:f>
        <x:v>-0.000001568463574130874</x:v>
      </x:c>
      <x:c r="G60" s="91"/>
      <x:c r="H60" s="91"/>
      <x:c r="I60" s="91"/>
      <x:c r="J60" s="91"/>
      <x:c r="K60" s="91"/>
      <x:c r="L60" s="99" t="n">
        <x:f>54</x:f>
        <x:v>54</x:v>
      </x:c>
      <x:c r="M60" s="100" t="n">
        <x:f>$C$14+(($H$8-$C$14)/$C$13)*L60</x:f>
        <x:v>-6.955505835950841</x:v>
      </x:c>
      <x:c r="N60" s="100" t="n">
        <x:f>IF(OR(L60=0,L60=$C$13),1,IF(MOD(L60,2)=0,2,4))</x:f>
        <x:v>2</x:v>
      </x:c>
      <x:c r="O60" s="100" t="n">
        <x:f>NORM.S.DIST(M60,FALSE)*NORM.S.DIST(($H$10-$H$7*M60)/SQRT(1-$H$7^2),TRUE)</x:f>
        <x:v>1.2460353275794524e-11</x:v>
      </x:c>
      <x:c r="P60" s="100" t="n">
        <x:f>N60*O60</x:f>
        <x:v>2.4920706551589048e-11</x:v>
      </x:c>
      <x:c r="Q60" s="100" t="n">
        <x:f>$C$14+(($H$9-$C$14)/$C$13)*L60</x:f>
        <x:v>-6.979130835950841</x:v>
      </x:c>
      <x:c r="R60" s="100" t="n">
        <x:f>NORM.S.DIST(Q60,FALSE)*NORM.S.DIST(($H$11-$H$7*Q60)/SQRT(1-$H$7^2),TRUE)</x:f>
        <x:v>1.0569251355240837e-11</x:v>
      </x:c>
      <x:c r="S60" s="100" t="n">
        <x:f>N60*R60</x:f>
        <x:v>2.1138502710481673e-11</x:v>
      </x:c>
    </x:row>
    <x:row r="61">
      <x:c r="A61" s="99" t="n">
        <x:f>A60+1</x:f>
        <x:v>29</x:v>
      </x:c>
      <x:c r="B61" s="110" t="n">
        <x:f>IF(F60&lt;0,D60,B60)</x:f>
        <x:v>538.3165001727039</x:v>
      </x:c>
      <x:c r="C61" s="110" t="n">
        <x:f>IF(F60&lt;0,C60,D60)</x:f>
        <x:v>538.3165038979942</x:v>
      </x:c>
      <x:c r="D61" s="110" t="n">
        <x:f>(B61+C61)/2</x:f>
        <x:v>538.316502035349</x:v>
      </x:c>
      <x:c r="E61" s="110" t="n">
        <x:f>IF(D61&lt;=0,0,D61*EXP(-$C$9*($C$12-$C$11))*NORM.S.DIST((LN(D61/$C$7)+($C$8-$C$9+0.5*$C$10^2)*($C$12-$C$11))/($C$10*SQRT($C$12-$C$11)),TRUE)-$C$7*EXP(-$C$8*($C$12-$C$11))*NORM.S.DIST((LN(D61/$C$7)+($C$8-$C$9+0.5*$C$10^2)*($C$12-$C$11))/($C$10*SQRT($C$12-$C$11))-$C$10*SQRT($C$12-$C$11),TRUE))</x:f>
        <x:v>49.99999961353632</x:v>
      </x:c>
      <x:c r="F61" s="110" t="n">
        <x:f>E61-$C$6</x:f>
        <x:v>-3.8646368238914874e-7</x:v>
      </x:c>
      <x:c r="G61" s="91"/>
      <x:c r="H61" s="91"/>
      <x:c r="I61" s="91"/>
      <x:c r="J61" s="91"/>
      <x:c r="K61" s="91"/>
      <x:c r="L61" s="99" t="n">
        <x:f>55</x:f>
        <x:v>55</x:v>
      </x:c>
      <x:c r="M61" s="100" t="n">
        <x:f>$C$14+(($H$8-$C$14)/$C$13)*L61</x:f>
        <x:v>-6.936163351431412</x:v>
      </x:c>
      <x:c r="N61" s="100" t="n">
        <x:f>IF(OR(L61=0,L61=$C$13),1,IF(MOD(L61,2)=0,2,4))</x:f>
        <x:v>4</x:v>
      </x:c>
      <x:c r="O61" s="100" t="n">
        <x:f>NORM.S.DIST(M61,FALSE)*NORM.S.DIST(($H$10-$H$7*M61)/SQRT(1-$H$7^2),TRUE)</x:f>
        <x:v>1.4252061513320153e-11</x:v>
      </x:c>
      <x:c r="P61" s="100" t="n">
        <x:f>N61*O61</x:f>
        <x:v>5.700824605328061e-11</x:v>
      </x:c>
      <x:c r="Q61" s="100" t="n">
        <x:f>$C$14+(($H$9-$C$14)/$C$13)*L61</x:f>
        <x:v>-6.960225851431412</x:v>
      </x:c>
      <x:c r="R61" s="100" t="n">
        <x:f>NORM.S.DIST(Q61,FALSE)*NORM.S.DIST(($H$11-$H$7*Q61)/SQRT(1-$H$7^2),TRUE)</x:f>
        <x:v>1.20577864689326e-11</x:v>
      </x:c>
      <x:c r="S61" s="100" t="n">
        <x:f>N61*R61</x:f>
        <x:v>4.82311458757304e-11</x:v>
      </x:c>
    </x:row>
    <x:row r="62">
      <x:c r="A62" s="99" t="n">
        <x:f>A61+1</x:f>
        <x:v>30</x:v>
      </x:c>
      <x:c r="B62" s="110" t="n">
        <x:f>IF(F61&lt;0,D61,B61)</x:f>
        <x:v>538.316502035349</x:v>
      </x:c>
      <x:c r="C62" s="110" t="n">
        <x:f>IF(F61&lt;0,C61,D61)</x:f>
        <x:v>538.3165038979942</x:v>
      </x:c>
      <x:c r="D62" s="110" t="n">
        <x:f>(B62+C62)/2</x:f>
        <x:v>538.3165029666716</x:v>
      </x:c>
      <x:c r="E62" s="110" t="n">
        <x:f>IF(D62&lt;=0,0,D62*EXP(-$C$9*($C$12-$C$11))*NORM.S.DIST((LN(D62/$C$7)+($C$8-$C$9+0.5*$C$10^2)*($C$12-$C$11))/($C$10*SQRT($C$12-$C$11)),TRUE)-$C$7*EXP(-$C$8*($C$12-$C$11))*NORM.S.DIST((LN(D62/$C$7)+($C$8-$C$9+0.5*$C$10^2)*($C$12-$C$11))/($C$10*SQRT($C$12-$C$11))-$C$10*SQRT($C$12-$C$11),TRUE))</x:f>
        <x:v>50.00000020453621</x:v>
      </x:c>
      <x:c r="F62" s="110" t="n">
        <x:f>E62-$C$6</x:f>
        <x:v>2.0453620663829497e-7</x:v>
      </x:c>
      <x:c r="G62" s="91"/>
      <x:c r="H62" s="91"/>
      <x:c r="I62" s="91"/>
      <x:c r="J62" s="91"/>
      <x:c r="K62" s="91"/>
      <x:c r="L62" s="99" t="n">
        <x:f>56</x:f>
        <x:v>56</x:v>
      </x:c>
      <x:c r="M62" s="100" t="n">
        <x:f>$C$14+(($H$8-$C$14)/$C$13)*L62</x:f>
        <x:v>-6.916820866911983</x:v>
      </x:c>
      <x:c r="N62" s="100" t="n">
        <x:f>IF(OR(L62=0,L62=$C$13),1,IF(MOD(L62,2)=0,2,4))</x:f>
        <x:v>2</x:v>
      </x:c>
      <x:c r="O62" s="100" t="n">
        <x:f>NORM.S.DIST(M62,FALSE)*NORM.S.DIST(($H$10-$H$7*M62)/SQRT(1-$H$7^2),TRUE)</x:f>
        <x:v>1.6295306641521303e-11</x:v>
      </x:c>
      <x:c r="P62" s="100" t="n">
        <x:f>N62*O62</x:f>
        <x:v>3.2590613283042606e-11</x:v>
      </x:c>
      <x:c r="Q62" s="100" t="n">
        <x:f>$C$14+(($H$9-$C$14)/$C$13)*L62</x:f>
        <x:v>-6.941320866911983</x:v>
      </x:c>
      <x:c r="R62" s="100" t="n">
        <x:f>NORM.S.DIST(Q62,FALSE)*NORM.S.DIST(($H$11-$H$7*Q62)/SQRT(1-$H$7^2),TRUE)</x:f>
        <x:v>1.3751046000715042e-11</x:v>
      </x:c>
      <x:c r="S62" s="100" t="n">
        <x:f>N62*R62</x:f>
        <x:v>2.7502092001430083e-11</x:v>
      </x:c>
    </x:row>
    <x:row r="63">
      <x:c r="A63" s="99" t="n">
        <x:f>A62+1</x:f>
        <x:v>31</x:v>
      </x:c>
      <x:c r="B63" s="110" t="n">
        <x:f>IF(F62&lt;0,D62,B62)</x:f>
        <x:v>538.316502035349</x:v>
      </x:c>
      <x:c r="C63" s="110" t="n">
        <x:f>IF(F62&lt;0,C62,D62)</x:f>
        <x:v>538.3165029666716</x:v>
      </x:c>
      <x:c r="D63" s="110" t="n">
        <x:f>(B63+C63)/2</x:f>
        <x:v>538.3165025010103</x:v>
      </x:c>
      <x:c r="E63" s="110" t="n">
        <x:f>IF(D63&lt;=0,0,D63*EXP(-$C$9*($C$12-$C$11))*NORM.S.DIST((LN(D63/$C$7)+($C$8-$C$9+0.5*$C$10^2)*($C$12-$C$11))/($C$10*SQRT($C$12-$C$11)),TRUE)-$C$7*EXP(-$C$8*($C$12-$C$11))*NORM.S.DIST((LN(D63/$C$7)+($C$8-$C$9+0.5*$C$10^2)*($C$12-$C$11))/($C$10*SQRT($C$12-$C$11))-$C$10*SQRT($C$12-$C$11),TRUE))</x:f>
        <x:v>49.999999909036376</x:v>
      </x:c>
      <x:c r="F63" s="110" t="n">
        <x:f>E63-$C$6</x:f>
        <x:v>-9.096362418858916e-8</x:v>
      </x:c>
      <x:c r="G63" s="91"/>
      <x:c r="H63" s="91"/>
      <x:c r="I63" s="91"/>
      <x:c r="J63" s="91"/>
      <x:c r="K63" s="91"/>
      <x:c r="L63" s="99" t="n">
        <x:f>57</x:f>
        <x:v>57</x:v>
      </x:c>
      <x:c r="M63" s="100" t="n">
        <x:f>$C$14+(($H$8-$C$14)/$C$13)*L63</x:f>
        <x:v>-6.897478382392554</x:v>
      </x:c>
      <x:c r="N63" s="100" t="n">
        <x:f>IF(OR(L63=0,L63=$C$13),1,IF(MOD(L63,2)=0,2,4))</x:f>
        <x:v>4</x:v>
      </x:c>
      <x:c r="O63" s="100" t="n">
        <x:f>NORM.S.DIST(M63,FALSE)*NORM.S.DIST(($H$10-$H$7*M63)/SQRT(1-$H$7^2),TRUE)</x:f>
        <x:v>1.8624512043881792e-11</x:v>
      </x:c>
      <x:c r="P63" s="100" t="n">
        <x:f>N63*O63</x:f>
        <x:v>7.449804817552717e-11</x:v>
      </x:c>
      <x:c r="Q63" s="100" t="n">
        <x:f>$C$14+(($H$9-$C$14)/$C$13)*L63</x:f>
        <x:v>-6.922415882392554</x:v>
      </x:c>
      <x:c r="R63" s="100" t="n">
        <x:f>NORM.S.DIST(Q63,FALSE)*NORM.S.DIST(($H$11-$H$7*Q63)/SQRT(1-$H$7^2),TRUE)</x:f>
        <x:v>1.567648405057829e-11</x:v>
      </x:c>
      <x:c r="S63" s="100" t="n">
        <x:f>N63*R63</x:f>
        <x:v>6.270593620231315e-11</x:v>
      </x:c>
    </x:row>
    <x:row r="64">
      <x:c r="A64" s="99" t="n">
        <x:f>A63+1</x:f>
        <x:v>32</x:v>
      </x:c>
      <x:c r="B64" s="110" t="n">
        <x:f>IF(F63&lt;0,D63,B63)</x:f>
        <x:v>538.3165025010103</x:v>
      </x:c>
      <x:c r="C64" s="110" t="n">
        <x:f>IF(F63&lt;0,C63,D63)</x:f>
        <x:v>538.3165029666716</x:v>
      </x:c>
      <x:c r="D64" s="110" t="n">
        <x:f>(B64+C64)/2</x:f>
        <x:v>538.3165027338409</x:v>
      </x:c>
      <x:c r="E64" s="110" t="n">
        <x:f>IF(D64&lt;=0,0,D64*EXP(-$C$9*($C$12-$C$11))*NORM.S.DIST((LN(D64/$C$7)+($C$8-$C$9+0.5*$C$10^2)*($C$12-$C$11))/($C$10*SQRT($C$12-$C$11)),TRUE)-$C$7*EXP(-$C$8*($C$12-$C$11))*NORM.S.DIST((LN(D64/$C$7)+($C$8-$C$9+0.5*$C$10^2)*($C$12-$C$11))/($C$10*SQRT($C$12-$C$11))-$C$10*SQRT($C$12-$C$11),TRUE))</x:f>
        <x:v>50.000000056786234</x:v>
      </x:c>
      <x:c r="F64" s="110" t="n">
        <x:f>E64-$C$6</x:f>
        <x:v>5.678623438143404e-8</x:v>
      </x:c>
      <x:c r="G64" s="91"/>
      <x:c r="H64" s="91"/>
      <x:c r="I64" s="91"/>
      <x:c r="J64" s="91"/>
      <x:c r="K64" s="91"/>
      <x:c r="L64" s="99" t="n">
        <x:f>58</x:f>
        <x:v>58</x:v>
      </x:c>
      <x:c r="M64" s="100" t="n">
        <x:f>$C$14+(($H$8-$C$14)/$C$13)*L64</x:f>
        <x:v>-6.8781358978731255</x:v>
      </x:c>
      <x:c r="N64" s="100" t="n">
        <x:f>IF(OR(L64=0,L64=$C$13),1,IF(MOD(L64,2)=0,2,4))</x:f>
        <x:v>2</x:v>
      </x:c>
      <x:c r="O64" s="100" t="n">
        <x:f>NORM.S.DIST(M64,FALSE)*NORM.S.DIST(($H$10-$H$7*M64)/SQRT(1-$H$7^2),TRUE)</x:f>
        <x:v>2.1278685009906777e-11</x:v>
      </x:c>
      <x:c r="P64" s="100" t="n">
        <x:f>N64*O64</x:f>
        <x:v>4.2557370019813554e-11</x:v>
      </x:c>
      <x:c r="Q64" s="100" t="n">
        <x:f>$C$14+(($H$9-$C$14)/$C$13)*L64</x:f>
        <x:v>-6.903510897873125</x:v>
      </x:c>
      <x:c r="R64" s="100" t="n">
        <x:f>NORM.S.DIST(Q64,FALSE)*NORM.S.DIST(($H$11-$H$7*Q64)/SQRT(1-$H$7^2),TRUE)</x:f>
        <x:v>1.786513814534594e-11</x:v>
      </x:c>
      <x:c r="S64" s="100" t="n">
        <x:f>N64*R64</x:f>
        <x:v>3.573027629069188e-11</x:v>
      </x:c>
    </x:row>
    <x:row r="65">
      <x:c r="A65" s="99" t="n">
        <x:f>A64+1</x:f>
        <x:v>33</x:v>
      </x:c>
      <x:c r="B65" s="110" t="n">
        <x:f>IF(F64&lt;0,D64,B64)</x:f>
        <x:v>538.3165025010103</x:v>
      </x:c>
      <x:c r="C65" s="110" t="n">
        <x:f>IF(F64&lt;0,C64,D64)</x:f>
        <x:v>538.3165027338409</x:v>
      </x:c>
      <x:c r="D65" s="110" t="n">
        <x:f>(B65+C65)/2</x:f>
        <x:v>538.3165026174256</x:v>
      </x:c>
      <x:c r="E65" s="110" t="n">
        <x:f>IF(D65&lt;=0,0,D65*EXP(-$C$9*($C$12-$C$11))*NORM.S.DIST((LN(D65/$C$7)+($C$8-$C$9+0.5*$C$10^2)*($C$12-$C$11))/($C$10*SQRT($C$12-$C$11)),TRUE)-$C$7*EXP(-$C$8*($C$12-$C$11))*NORM.S.DIST((LN(D65/$C$7)+($C$8-$C$9+0.5*$C$10^2)*($C$12-$C$11))/($C$10*SQRT($C$12-$C$11))-$C$10*SQRT($C$12-$C$11),TRUE))</x:f>
        <x:v>49.99999998291128</x:v>
      </x:c>
      <x:c r="F65" s="110" t="n">
        <x:f>E65-$C$6</x:f>
        <x:v>-1.7088723325286992e-8</x:v>
      </x:c>
      <x:c r="G65" s="91"/>
      <x:c r="H65" s="91"/>
      <x:c r="I65" s="91"/>
      <x:c r="J65" s="91"/>
      <x:c r="K65" s="91"/>
      <x:c r="L65" s="99" t="n">
        <x:f>59</x:f>
        <x:v>59</x:v>
      </x:c>
      <x:c r="M65" s="100" t="n">
        <x:f>$C$14+(($H$8-$C$14)/$C$13)*L65</x:f>
        <x:v>-6.8587934133536965</x:v>
      </x:c>
      <x:c r="N65" s="100" t="n">
        <x:f>IF(OR(L65=0,L65=$C$13),1,IF(MOD(L65,2)=0,2,4))</x:f>
        <x:v>4</x:v>
      </x:c>
      <x:c r="O65" s="100" t="n">
        <x:f>NORM.S.DIST(M65,FALSE)*NORM.S.DIST(($H$10-$H$7*M65)/SQRT(1-$H$7^2),TRUE)</x:f>
        <x:v>2.4302009421975532e-11</x:v>
      </x:c>
      <x:c r="P65" s="100" t="n">
        <x:f>N65*O65</x:f>
        <x:v>9.720803768790213e-11</x:v>
      </x:c>
      <x:c r="Q65" s="100" t="n">
        <x:f>$C$14+(($H$9-$C$14)/$C$13)*L65</x:f>
        <x:v>-6.884605913353696</x:v>
      </x:c>
      <x:c r="R65" s="100" t="n">
        <x:f>NORM.S.DIST(Q65,FALSE)*NORM.S.DIST(($H$11-$H$7*Q65)/SQRT(1-$H$7^2),TRUE)</x:f>
        <x:v>2.0352083534077176e-11</x:v>
      </x:c>
      <x:c r="S65" s="100" t="n">
        <x:f>N65*R65</x:f>
        <x:v>8.14083341363087e-11</x:v>
      </x:c>
    </x:row>
    <x:row r="66">
      <x:c r="A66" s="99" t="n">
        <x:f>A65+1</x:f>
        <x:v>34</x:v>
      </x:c>
      <x:c r="B66" s="110" t="n">
        <x:f>IF(F65&lt;0,D65,B65)</x:f>
        <x:v>538.3165026174256</x:v>
      </x:c>
      <x:c r="C66" s="110" t="n">
        <x:f>IF(F65&lt;0,C65,D65)</x:f>
        <x:v>538.3165027338409</x:v>
      </x:c>
      <x:c r="D66" s="110" t="n">
        <x:f>(B66+C66)/2</x:f>
        <x:v>538.3165026756333</x:v>
      </x:c>
      <x:c r="E66" s="110" t="n">
        <x:f>IF(D66&lt;=0,0,D66*EXP(-$C$9*($C$12-$C$11))*NORM.S.DIST((LN(D66/$C$7)+($C$8-$C$9+0.5*$C$10^2)*($C$12-$C$11))/($C$10*SQRT($C$12-$C$11)),TRUE)-$C$7*EXP(-$C$8*($C$12-$C$11))*NORM.S.DIST((LN(D66/$C$7)+($C$8-$C$9+0.5*$C$10^2)*($C$12-$C$11))/($C$10*SQRT($C$12-$C$11))-$C$10*SQRT($C$12-$C$11),TRUE))</x:f>
        <x:v>50.00000001984881</x:v>
      </x:c>
      <x:c r="F66" s="110" t="n">
        <x:f>E66-$C$6</x:f>
        <x:v>1.9848812371492386e-8</x:v>
      </x:c>
      <x:c r="G66" s="91"/>
      <x:c r="H66" s="91"/>
      <x:c r="I66" s="91"/>
      <x:c r="J66" s="91"/>
      <x:c r="K66" s="91"/>
      <x:c r="L66" s="99" t="n">
        <x:f>60</x:f>
        <x:v>60</x:v>
      </x:c>
      <x:c r="M66" s="100" t="n">
        <x:f>$C$14+(($H$8-$C$14)/$C$13)*L66</x:f>
        <x:v>-6.8394509288342675</x:v>
      </x:c>
      <x:c r="N66" s="100" t="n">
        <x:f>IF(OR(L66=0,L66=$C$13),1,IF(MOD(L66,2)=0,2,4))</x:f>
        <x:v>2</x:v>
      </x:c>
      <x:c r="O66" s="100" t="n">
        <x:f>NORM.S.DIST(M66,FALSE)*NORM.S.DIST(($H$10-$H$7*M66)/SQRT(1-$H$7^2),TRUE)</x:f>
        <x:v>2.7744512662744386e-11</x:v>
      </x:c>
      <x:c r="P66" s="100" t="n">
        <x:f>N66*O66</x:f>
        <x:v>5.548902532548877e-11</x:v>
      </x:c>
      <x:c r="Q66" s="100" t="n">
        <x:f>$C$14+(($H$9-$C$14)/$C$13)*L66</x:f>
        <x:v>-6.865700928834268</x:v>
      </x:c>
      <x:c r="R66" s="100" t="n">
        <x:f>NORM.S.DIST(Q66,FALSE)*NORM.S.DIST(($H$11-$H$7*Q66)/SQRT(1-$H$7^2),TRUE)</x:f>
        <x:v>2.3176943285632843e-11</x:v>
      </x:c>
      <x:c r="S66" s="100" t="n">
        <x:f>N66*R66</x:f>
        <x:v>4.6353886571265686e-11</x:v>
      </x:c>
    </x:row>
    <x:row r="67">
      <x:c r="A67" s="99" t="n">
        <x:f>A66+1</x:f>
        <x:v>35</x:v>
      </x:c>
      <x:c r="B67" s="110" t="n">
        <x:f>IF(F66&lt;0,D66,B66)</x:f>
        <x:v>538.3165026174256</x:v>
      </x:c>
      <x:c r="C67" s="110" t="n">
        <x:f>IF(F66&lt;0,C66,D66)</x:f>
        <x:v>538.3165026756333</x:v>
      </x:c>
      <x:c r="D67" s="110" t="n">
        <x:f>(B67+C67)/2</x:f>
        <x:v>538.3165026465294</x:v>
      </x:c>
      <x:c r="E67" s="110" t="n">
        <x:f>IF(D67&lt;=0,0,D67*EXP(-$C$9*($C$12-$C$11))*NORM.S.DIST((LN(D67/$C$7)+($C$8-$C$9+0.5*$C$10^2)*($C$12-$C$11))/($C$10*SQRT($C$12-$C$11)),TRUE)-$C$7*EXP(-$C$8*($C$12-$C$11))*NORM.S.DIST((LN(D67/$C$7)+($C$8-$C$9+0.5*$C$10^2)*($C$12-$C$11))/($C$10*SQRT($C$12-$C$11))-$C$10*SQRT($C$12-$C$11),TRUE))</x:f>
        <x:v>50.0000000013801</x:v>
      </x:c>
      <x:c r="F67" s="110" t="n">
        <x:f>E67-$C$6</x:f>
        <x:v>1.3801013665215578e-9</x:v>
      </x:c>
      <x:c r="G67" s="91"/>
      <x:c r="H67" s="91"/>
      <x:c r="I67" s="91"/>
      <x:c r="J67" s="91"/>
      <x:c r="K67" s="91"/>
      <x:c r="L67" s="99" t="n">
        <x:f>61</x:f>
        <x:v>61</x:v>
      </x:c>
      <x:c r="M67" s="100" t="n">
        <x:f>$C$14+(($H$8-$C$14)/$C$13)*L67</x:f>
        <x:v>-6.8201084443148385</x:v>
      </x:c>
      <x:c r="N67" s="100" t="n">
        <x:f>IF(OR(L67=0,L67=$C$13),1,IF(MOD(L67,2)=0,2,4))</x:f>
        <x:v>4</x:v>
      </x:c>
      <x:c r="O67" s="100" t="n">
        <x:f>NORM.S.DIST(M67,FALSE)*NORM.S.DIST(($H$10-$H$7*M67)/SQRT(1-$H$7^2),TRUE)</x:f>
        <x:v>3.1662815717430916e-11</x:v>
      </x:c>
      <x:c r="P67" s="100" t="n">
        <x:f>N67*O67</x:f>
        <x:v>1.2665126286972366e-10</x:v>
      </x:c>
      <x:c r="Q67" s="100" t="n">
        <x:f>$C$14+(($H$9-$C$14)/$C$13)*L67</x:f>
        <x:v>-6.846795944314838</x:v>
      </x:c>
      <x:c r="R67" s="100" t="n">
        <x:f>NORM.S.DIST(Q67,FALSE)*NORM.S.DIST(($H$11-$H$7*Q67)/SQRT(1-$H$7^2),TRUE)</x:f>
        <x:v>2.6384460809598488e-11</x:v>
      </x:c>
      <x:c r="S67" s="100" t="n">
        <x:f>N67*R67</x:f>
        <x:v>1.0553784323839395e-10</x:v>
      </x:c>
    </x:row>
    <x:row r="68">
      <x:c r="A68" s="99" t="n">
        <x:f>A67+1</x:f>
        <x:v>36</x:v>
      </x:c>
      <x:c r="B68" s="110" t="n">
        <x:f>IF(F67&lt;0,D67,B67)</x:f>
        <x:v>538.3165026174256</x:v>
      </x:c>
      <x:c r="C68" s="110" t="n">
        <x:f>IF(F67&lt;0,C67,D67)</x:f>
        <x:v>538.3165026465294</x:v>
      </x:c>
      <x:c r="D68" s="110" t="n">
        <x:f>(B68+C68)/2</x:f>
        <x:v>538.3165026319775</x:v>
      </x:c>
      <x:c r="E68" s="110" t="n">
        <x:f>IF(D68&lt;=0,0,D68*EXP(-$C$9*($C$12-$C$11))*NORM.S.DIST((LN(D68/$C$7)+($C$8-$C$9+0.5*$C$10^2)*($C$12-$C$11))/($C$10*SQRT($C$12-$C$11)),TRUE)-$C$7*EXP(-$C$8*($C$12-$C$11))*NORM.S.DIST((LN(D68/$C$7)+($C$8-$C$9+0.5*$C$10^2)*($C$12-$C$11))/($C$10*SQRT($C$12-$C$11))-$C$10*SQRT($C$12-$C$11),TRUE))</x:f>
        <x:v>49.999999992145774</x:v>
      </x:c>
      <x:c r="F68" s="110" t="n">
        <x:f>E68-$C$6</x:f>
        <x:v>-7.854225714254426e-9</x:v>
      </x:c>
      <x:c r="G68" s="91"/>
      <x:c r="H68" s="91"/>
      <x:c r="I68" s="91"/>
      <x:c r="J68" s="91"/>
      <x:c r="K68" s="91"/>
      <x:c r="L68" s="99" t="n">
        <x:f>62</x:f>
        <x:v>62</x:v>
      </x:c>
      <x:c r="M68" s="100" t="n">
        <x:f>$C$14+(($H$8-$C$14)/$C$13)*L68</x:f>
        <x:v>-6.8007659597954095</x:v>
      </x:c>
      <x:c r="N68" s="100" t="n">
        <x:f>IF(OR(L68=0,L68=$C$13),1,IF(MOD(L68,2)=0,2,4))</x:f>
        <x:v>2</x:v>
      </x:c>
      <x:c r="O68" s="100" t="n">
        <x:f>NORM.S.DIST(M68,FALSE)*NORM.S.DIST(($H$10-$H$7*M68)/SQRT(1-$H$7^2),TRUE)</x:f>
        <x:v>3.612097648909551e-11</x:v>
      </x:c>
      <x:c r="P68" s="100" t="n">
        <x:f>N68*O68</x:f>
        <x:v>7.224195297819102e-11</x:v>
      </x:c>
      <x:c r="Q68" s="100" t="n">
        <x:f>$C$14+(($H$9-$C$14)/$C$13)*L68</x:f>
        <x:v>-6.827890959795409</x:v>
      </x:c>
      <x:c r="R68" s="100" t="n">
        <x:f>NORM.S.DIST(Q68,FALSE)*NORM.S.DIST(($H$11-$H$7*Q68)/SQRT(1-$H$7^2),TRUE)</x:f>
        <x:v>3.002514217786935e-11</x:v>
      </x:c>
      <x:c r="S68" s="100" t="n">
        <x:f>N68*R68</x:f>
        <x:v>6.00502843557387e-11</x:v>
      </x:c>
    </x:row>
    <x:row r="69">
      <x:c r="A69" s="99" t="n">
        <x:f>A68+1</x:f>
        <x:v>37</x:v>
      </x:c>
      <x:c r="B69" s="110" t="n">
        <x:f>IF(F68&lt;0,D68,B68)</x:f>
        <x:v>538.3165026319775</x:v>
      </x:c>
      <x:c r="C69" s="110" t="n">
        <x:f>IF(F68&lt;0,C68,D68)</x:f>
        <x:v>538.3165026465294</x:v>
      </x:c>
      <x:c r="D69" s="110" t="n">
        <x:f>(B69+C69)/2</x:f>
        <x:v>538.3165026392535</x:v>
      </x:c>
      <x:c r="E69" s="110" t="n">
        <x:f>IF(D69&lt;=0,0,D69*EXP(-$C$9*($C$12-$C$11))*NORM.S.DIST((LN(D69/$C$7)+($C$8-$C$9+0.5*$C$10^2)*($C$12-$C$11))/($C$10*SQRT($C$12-$C$11)),TRUE)-$C$7*EXP(-$C$8*($C$12-$C$11))*NORM.S.DIST((LN(D69/$C$7)+($C$8-$C$9+0.5*$C$10^2)*($C$12-$C$11))/($C$10*SQRT($C$12-$C$11))-$C$10*SQRT($C$12-$C$11),TRUE))</x:f>
        <x:v>49.99999999676288</x:v>
      </x:c>
      <x:c r="F69" s="110" t="n">
        <x:f>E69-$C$6</x:f>
        <x:v>-3.237119017285295e-9</x:v>
      </x:c>
      <x:c r="G69" s="91"/>
      <x:c r="H69" s="91"/>
      <x:c r="I69" s="91"/>
      <x:c r="J69" s="91"/>
      <x:c r="K69" s="91"/>
      <x:c r="L69" s="99" t="n">
        <x:f>63</x:f>
        <x:v>63</x:v>
      </x:c>
      <x:c r="M69" s="100" t="n">
        <x:f>$C$14+(($H$8-$C$14)/$C$13)*L69</x:f>
        <x:v>-6.7814234752759806</x:v>
      </x:c>
      <x:c r="N69" s="100" t="n">
        <x:f>IF(OR(L69=0,L69=$C$13),1,IF(MOD(L69,2)=0,2,4))</x:f>
        <x:v>4</x:v>
      </x:c>
      <x:c r="O69" s="100" t="n">
        <x:f>NORM.S.DIST(M69,FALSE)*NORM.S.DIST(($H$10-$H$7*M69)/SQRT(1-$H$7^2),TRUE)</x:f>
        <x:v>4.11914375050371e-11</x:v>
      </x:c>
      <x:c r="P69" s="100" t="n">
        <x:f>N69*O69</x:f>
        <x:v>1.647657500201484e-10</x:v>
      </x:c>
      <x:c r="Q69" s="100" t="n">
        <x:f>$C$14+(($H$9-$C$14)/$C$13)*L69</x:f>
        <x:v>-6.808985975275981</x:v>
      </x:c>
      <x:c r="R69" s="100" t="n">
        <x:f>NORM.S.DIST(Q69,FALSE)*NORM.S.DIST(($H$11-$H$7*Q69)/SQRT(1-$H$7^2),TRUE)</x:f>
        <x:v>3.4155976463032286e-11</x:v>
      </x:c>
      <x:c r="S69" s="100" t="n">
        <x:f>N69*R69</x:f>
        <x:v>1.3662390585212914e-10</x:v>
      </x:c>
    </x:row>
    <x:row r="70">
      <x:c r="A70" s="99" t="n">
        <x:f>A69+1</x:f>
        <x:v>38</x:v>
      </x:c>
      <x:c r="B70" s="110" t="n">
        <x:f>IF(F69&lt;0,D69,B69)</x:f>
        <x:v>538.3165026392535</x:v>
      </x:c>
      <x:c r="C70" s="110" t="n">
        <x:f>IF(F69&lt;0,C69,D69)</x:f>
        <x:v>538.3165026465294</x:v>
      </x:c>
      <x:c r="D70" s="110" t="n">
        <x:f>(B70+C70)/2</x:f>
        <x:v>538.3165026428915</x:v>
      </x:c>
      <x:c r="E70" s="110" t="n">
        <x:f>IF(D70&lt;=0,0,D70*EXP(-$C$9*($C$12-$C$11))*NORM.S.DIST((LN(D70/$C$7)+($C$8-$C$9+0.5*$C$10^2)*($C$12-$C$11))/($C$10*SQRT($C$12-$C$11)),TRUE)-$C$7*EXP(-$C$8*($C$12-$C$11))*NORM.S.DIST((LN(D70/$C$7)+($C$8-$C$9+0.5*$C$10^2)*($C$12-$C$11))/($C$10*SQRT($C$12-$C$11))-$C$10*SQRT($C$12-$C$11),TRUE))</x:f>
        <x:v>49.999999999071406</x:v>
      </x:c>
      <x:c r="F70" s="110" t="n">
        <x:f>E70-$C$6</x:f>
        <x:v>-9.285940905101597e-10</x:v>
      </x:c>
      <x:c r="G70" s="91"/>
      <x:c r="H70" s="91"/>
      <x:c r="I70" s="91"/>
      <x:c r="J70" s="91"/>
      <x:c r="K70" s="91"/>
      <x:c r="L70" s="99" t="n">
        <x:f>64</x:f>
        <x:v>64</x:v>
      </x:c>
      <x:c r="M70" s="100" t="n">
        <x:f>$C$14+(($H$8-$C$14)/$C$13)*L70</x:f>
        <x:v>-6.762080990756552</x:v>
      </x:c>
      <x:c r="N70" s="100" t="n">
        <x:f>IF(OR(L70=0,L70=$C$13),1,IF(MOD(L70,2)=0,2,4))</x:f>
        <x:v>2</x:v>
      </x:c>
      <x:c r="O70" s="100" t="n">
        <x:f>NORM.S.DIST(M70,FALSE)*NORM.S.DIST(($H$10-$H$7*M70)/SQRT(1-$H$7^2),TRUE)</x:f>
        <x:v>4.6956090480941895e-11</x:v>
      </x:c>
      <x:c r="P70" s="100" t="n">
        <x:f>N70*O70</x:f>
        <x:v>9.391218096188379e-11</x:v>
      </x:c>
      <x:c r="Q70" s="100" t="n">
        <x:f>$C$14+(($H$9-$C$14)/$C$13)*L70</x:f>
        <x:v>-6.790080990756552</x:v>
      </x:c>
      <x:c r="R70" s="100" t="n">
        <x:f>NORM.S.DIST(Q70,FALSE)*NORM.S.DIST(($H$11-$H$7*Q70)/SQRT(1-$H$7^2),TRUE)</x:f>
        <x:v>3.884124323982311e-11</x:v>
      </x:c>
      <x:c r="S70" s="100" t="n">
        <x:f>N70*R70</x:f>
        <x:v>7.768248647964622e-11</x:v>
      </x:c>
    </x:row>
    <x:row r="71">
      <x:c r="A71" s="99" t="n">
        <x:f>A70+1</x:f>
        <x:v>39</x:v>
      </x:c>
      <x:c r="B71" s="110" t="n">
        <x:f>IF(F70&lt;0,D70,B70)</x:f>
        <x:v>538.3165026428915</x:v>
      </x:c>
      <x:c r="C71" s="110" t="n">
        <x:f>IF(F70&lt;0,C70,D70)</x:f>
        <x:v>538.3165026465294</x:v>
      </x:c>
      <x:c r="D71" s="110" t="n">
        <x:f>(B71+C71)/2</x:f>
        <x:v>538.3165026447105</x:v>
      </x:c>
      <x:c r="E71" s="110" t="n">
        <x:f>IF(D71&lt;=0,0,D71*EXP(-$C$9*($C$12-$C$11))*NORM.S.DIST((LN(D71/$C$7)+($C$8-$C$9+0.5*$C$10^2)*($C$12-$C$11))/($C$10*SQRT($C$12-$C$11)),TRUE)-$C$7*EXP(-$C$8*($C$12-$C$11))*NORM.S.DIST((LN(D71/$C$7)+($C$8-$C$9+0.5*$C$10^2)*($C$12-$C$11))/($C$10*SQRT($C$12-$C$11))-$C$10*SQRT($C$12-$C$11),TRUE))</x:f>
        <x:v>50.00000000022567</x:v>
      </x:c>
      <x:c r="F71" s="110" t="n">
        <x:f>E71-$C$6</x:f>
        <x:v>2.2566837287740782e-10</x:v>
      </x:c>
      <x:c r="G71" s="91"/>
      <x:c r="H71" s="91"/>
      <x:c r="I71" s="91"/>
      <x:c r="J71" s="91"/>
      <x:c r="K71" s="91"/>
      <x:c r="L71" s="99" t="n">
        <x:f>65</x:f>
        <x:v>65</x:v>
      </x:c>
      <x:c r="M71" s="100" t="n">
        <x:f>$C$14+(($H$8-$C$14)/$C$13)*L71</x:f>
        <x:v>-6.742738506237123</x:v>
      </x:c>
      <x:c r="N71" s="100" t="n">
        <x:f>IF(OR(L71=0,L71=$C$13),1,IF(MOD(L71,2)=0,2,4))</x:f>
        <x:v>4</x:v>
      </x:c>
      <x:c r="O71" s="100" t="n">
        <x:f>NORM.S.DIST(M71,FALSE)*NORM.S.DIST(($H$10-$H$7*M71)/SQRT(1-$H$7^2),TRUE)</x:f>
        <x:v>5.350747164000647e-11</x:v>
      </x:c>
      <x:c r="P71" s="100" t="n">
        <x:f>N71*O71</x:f>
        <x:v>2.140298865600259e-10</x:v>
      </x:c>
      <x:c r="Q71" s="100" t="n">
        <x:f>$C$14+(($H$9-$C$14)/$C$13)*L71</x:f>
        <x:v>-6.771176006237123</x:v>
      </x:c>
      <x:c r="R71" s="100" t="n">
        <x:f>NORM.S.DIST(Q71,FALSE)*NORM.S.DIST(($H$11-$H$7*Q71)/SQRT(1-$H$7^2),TRUE)</x:f>
        <x:v>4.41534174268862e-11</x:v>
      </x:c>
      <x:c r="S71" s="100" t="n">
        <x:f>N71*R71</x:f>
        <x:v>1.766136697075448e-10</x:v>
      </x:c>
    </x:row>
    <x:row r="72">
      <x:c r="A72" s="99" t="n">
        <x:f>A71+1</x:f>
        <x:v>40</x:v>
      </x:c>
      <x:c r="B72" s="110" t="n">
        <x:f>IF(F71&lt;0,D71,B71)</x:f>
        <x:v>538.3165026428915</x:v>
      </x:c>
      <x:c r="C72" s="110" t="n">
        <x:f>IF(F71&lt;0,C71,D71)</x:f>
        <x:v>538.3165026447105</x:v>
      </x:c>
      <x:c r="D72" s="110" t="n">
        <x:f>(B72+C72)/2</x:f>
        <x:v>538.316502643801</x:v>
      </x:c>
      <x:c r="E72" s="110" t="n">
        <x:f>IF(D72&lt;=0,0,D72*EXP(-$C$9*($C$12-$C$11))*NORM.S.DIST((LN(D72/$C$7)+($C$8-$C$9+0.5*$C$10^2)*($C$12-$C$11))/($C$10*SQRT($C$12-$C$11)),TRUE)-$C$7*EXP(-$C$8*($C$12-$C$11))*NORM.S.DIST((LN(D72/$C$7)+($C$8-$C$9+0.5*$C$10^2)*($C$12-$C$11))/($C$10*SQRT($C$12-$C$11))-$C$10*SQRT($C$12-$C$11),TRUE))</x:f>
        <x:v>49.999999999648594</x:v>
      </x:c>
      <x:c r="F72" s="110" t="n">
        <x:f>E72-$C$6</x:f>
        <x:v>-3.5140601539751515e-10</x:v>
      </x:c>
      <x:c r="G72" s="91"/>
      <x:c r="H72" s="91"/>
      <x:c r="I72" s="91"/>
      <x:c r="J72" s="91"/>
      <x:c r="K72" s="91"/>
      <x:c r="L72" s="99" t="n">
        <x:f>66</x:f>
        <x:v>66</x:v>
      </x:c>
      <x:c r="M72" s="100" t="n">
        <x:f>$C$14+(($H$8-$C$14)/$C$13)*L72</x:f>
        <x:v>-6.723396021717694</x:v>
      </x:c>
      <x:c r="N72" s="100" t="n">
        <x:f>IF(OR(L72=0,L72=$C$13),1,IF(MOD(L72,2)=0,2,4))</x:f>
        <x:v>2</x:v>
      </x:c>
      <x:c r="O72" s="100" t="n">
        <x:f>NORM.S.DIST(M72,FALSE)*NORM.S.DIST(($H$10-$H$7*M72)/SQRT(1-$H$7^2),TRUE)</x:f>
        <x:v>6.095010327177414e-11</x:v>
      </x:c>
      <x:c r="P72" s="100" t="n">
        <x:f>N72*O72</x:f>
        <x:v>1.2190020654354828e-10</x:v>
      </x:c>
      <x:c r="Q72" s="100" t="n">
        <x:f>$C$14+(($H$9-$C$14)/$C$13)*L72</x:f>
        <x:v>-6.752271021717694</x:v>
      </x:c>
      <x:c r="R72" s="100" t="n">
        <x:f>NORM.S.DIST(Q72,FALSE)*NORM.S.DIST(($H$11-$H$7*Q72)/SQRT(1-$H$7^2),TRUE)</x:f>
        <x:v>5.0174182788165343e-11</x:v>
      </x:c>
      <x:c r="S72" s="100" t="n">
        <x:f>N72*R72</x:f>
        <x:v>1.0034836557633069e-10</x:v>
      </x:c>
    </x:row>
    <x:row r="73">
      <x:c r="A73" s="99" t="n">
        <x:f>A72+1</x:f>
        <x:v>41</x:v>
      </x:c>
      <x:c r="B73" s="110" t="n">
        <x:f>IF(F72&lt;0,D72,B72)</x:f>
        <x:v>538.316502643801</x:v>
      </x:c>
      <x:c r="C73" s="110" t="n">
        <x:f>IF(F72&lt;0,C72,D72)</x:f>
        <x:v>538.3165026447105</x:v>
      </x:c>
      <x:c r="D73" s="110" t="n">
        <x:f>(B73+C73)/2</x:f>
        <x:v>538.3165026442557</x:v>
      </x:c>
      <x:c r="E73" s="110" t="n">
        <x:f>IF(D73&lt;=0,0,D73*EXP(-$C$9*($C$12-$C$11))*NORM.S.DIST((LN(D73/$C$7)+($C$8-$C$9+0.5*$C$10^2)*($C$12-$C$11))/($C$10*SQRT($C$12-$C$11)),TRUE)-$C$7*EXP(-$C$8*($C$12-$C$11))*NORM.S.DIST((LN(D73/$C$7)+($C$8-$C$9+0.5*$C$10^2)*($C$12-$C$11))/($C$10*SQRT($C$12-$C$11))-$C$10*SQRT($C$12-$C$11),TRUE))</x:f>
        <x:v>49.999999999937245</x:v>
      </x:c>
      <x:c r="F73" s="110" t="n">
        <x:f>E73-$C$6</x:f>
        <x:v>-6.275513442233205e-11</x:v>
      </x:c>
      <x:c r="G73" s="91"/>
      <x:c r="H73" s="91"/>
      <x:c r="I73" s="91"/>
      <x:c r="J73" s="91"/>
      <x:c r="K73" s="91"/>
      <x:c r="L73" s="99" t="n">
        <x:f>67</x:f>
        <x:v>67</x:v>
      </x:c>
      <x:c r="M73" s="100" t="n">
        <x:f>$C$14+(($H$8-$C$14)/$C$13)*L73</x:f>
        <x:v>-6.7040535371982655</x:v>
      </x:c>
      <x:c r="N73" s="100" t="n">
        <x:f>IF(OR(L73=0,L73=$C$13),1,IF(MOD(L73,2)=0,2,4))</x:f>
        <x:v>4</x:v>
      </x:c>
      <x:c r="O73" s="100" t="n">
        <x:f>NORM.S.DIST(M73,FALSE)*NORM.S.DIST(($H$10-$H$7*M73)/SQRT(1-$H$7^2),TRUE)</x:f>
        <x:v>6.940199877623145e-11</x:v>
      </x:c>
      <x:c r="P73" s="100" t="n">
        <x:f>N73*O73</x:f>
        <x:v>2.776079951049258e-10</x:v>
      </x:c>
      <x:c r="Q73" s="100" t="n">
        <x:f>$C$14+(($H$9-$C$14)/$C$13)*L73</x:f>
        <x:v>-6.733366037198265</x:v>
      </x:c>
      <x:c r="R73" s="100" t="n">
        <x:f>NORM.S.DIST(Q73,FALSE)*NORM.S.DIST(($H$11-$H$7*Q73)/SQRT(1-$H$7^2),TRUE)</x:f>
        <x:v>5.699556667793272e-11</x:v>
      </x:c>
      <x:c r="S73" s="100" t="n">
        <x:f>N73*R73</x:f>
        <x:v>2.2798226671173089e-10</x:v>
      </x:c>
    </x:row>
    <x:row r="74">
      <x:c r="A74" s="99" t="n">
        <x:f>A73+1</x:f>
        <x:v>42</x:v>
      </x:c>
      <x:c r="B74" s="110" t="n">
        <x:f>IF(F73&lt;0,D73,B73)</x:f>
        <x:v>538.3165026442557</x:v>
      </x:c>
      <x:c r="C74" s="110" t="n">
        <x:f>IF(F73&lt;0,C73,D73)</x:f>
        <x:v>538.3165026447105</x:v>
      </x:c>
      <x:c r="D74" s="110" t="n">
        <x:f>(B74+C74)/2</x:f>
        <x:v>538.3165026444831</x:v>
      </x:c>
      <x:c r="E74" s="110" t="n">
        <x:f>IF(D74&lt;=0,0,D74*EXP(-$C$9*($C$12-$C$11))*NORM.S.DIST((LN(D74/$C$7)+($C$8-$C$9+0.5*$C$10^2)*($C$12-$C$11))/($C$10*SQRT($C$12-$C$11)),TRUE)-$C$7*EXP(-$C$8*($C$12-$C$11))*NORM.S.DIST((LN(D74/$C$7)+($C$8-$C$9+0.5*$C$10^2)*($C$12-$C$11))/($C$10*SQRT($C$12-$C$11))-$C$10*SQRT($C$12-$C$11),TRUE))</x:f>
        <x:v>50.00000000008151</x:v>
      </x:c>
      <x:c r="F74" s="110" t="n">
        <x:f>E74-$C$6</x:f>
        <x:v>8.151346264639869e-11</x:v>
      </x:c>
      <x:c r="G74" s="91"/>
      <x:c r="H74" s="91"/>
      <x:c r="I74" s="91"/>
      <x:c r="J74" s="91"/>
      <x:c r="K74" s="91"/>
      <x:c r="L74" s="99" t="n">
        <x:f>68</x:f>
        <x:v>68</x:v>
      </x:c>
      <x:c r="M74" s="100" t="n">
        <x:f>$C$14+(($H$8-$C$14)/$C$13)*L74</x:f>
        <x:v>-6.6847110526788365</x:v>
      </x:c>
      <x:c r="N74" s="100" t="n">
        <x:f>IF(OR(L74=0,L74=$C$13),1,IF(MOD(L74,2)=0,2,4))</x:f>
        <x:v>2</x:v>
      </x:c>
      <x:c r="O74" s="100" t="n">
        <x:f>NORM.S.DIST(M74,FALSE)*NORM.S.DIST(($H$10-$H$7*M74)/SQRT(1-$H$7^2),TRUE)</x:f>
        <x:v>7.89963503907551e-11</x:v>
      </x:c>
      <x:c r="P74" s="100" t="n">
        <x:f>N74*O74</x:f>
        <x:v>1.579927007815102e-10</x:v>
      </x:c>
      <x:c r="Q74" s="100" t="n">
        <x:f>$C$14+(($H$9-$C$14)/$C$13)*L74</x:f>
        <x:v>-6.714461052678836</x:v>
      </x:c>
      <x:c r="R74" s="100" t="n">
        <x:f>NORM.S.DIST(Q74,FALSE)*NORM.S.DIST(($H$11-$H$7*Q74)/SQRT(1-$H$7^2),TRUE)</x:f>
        <x:v>6.47212100132059e-11</x:v>
      </x:c>
      <x:c r="S74" s="100" t="n">
        <x:f>N74*R74</x:f>
        <x:v>1.294424200264118e-10</x:v>
      </x:c>
    </x:row>
    <x:row r="75">
      <x:c r="A75" s="99" t="n">
        <x:f>A74+1</x:f>
        <x:v>43</x:v>
      </x:c>
      <x:c r="B75" s="110" t="n">
        <x:f>IF(F74&lt;0,D74,B74)</x:f>
        <x:v>538.3165026442557</x:v>
      </x:c>
      <x:c r="C75" s="110" t="n">
        <x:f>IF(F74&lt;0,C74,D74)</x:f>
        <x:v>538.3165026444831</x:v>
      </x:c>
      <x:c r="D75" s="110" t="n">
        <x:f>(B75+C75)/2</x:f>
        <x:v>538.3165026443694</x:v>
      </x:c>
      <x:c r="E75" s="110" t="n">
        <x:f>IF(D75&lt;=0,0,D75*EXP(-$C$9*($C$12-$C$11))*NORM.S.DIST((LN(D75/$C$7)+($C$8-$C$9+0.5*$C$10^2)*($C$12-$C$11))/($C$10*SQRT($C$12-$C$11)),TRUE)-$C$7*EXP(-$C$8*($C$12-$C$11))*NORM.S.DIST((LN(D75/$C$7)+($C$8-$C$9+0.5*$C$10^2)*($C$12-$C$11))/($C$10*SQRT($C$12-$C$11))-$C$10*SQRT($C$12-$C$11),TRUE))</x:f>
        <x:v>50.00000000000932</x:v>
      </x:c>
      <x:c r="F75" s="110" t="n">
        <x:f>E75-$C$6</x:f>
        <x:v>9.322320693172514e-12</x:v>
      </x:c>
      <x:c r="G75" s="91"/>
      <x:c r="H75" s="91"/>
      <x:c r="I75" s="91"/>
      <x:c r="J75" s="91"/>
      <x:c r="K75" s="91"/>
      <x:c r="L75" s="99" t="n">
        <x:f>69</x:f>
        <x:v>69</x:v>
      </x:c>
      <x:c r="M75" s="100" t="n">
        <x:f>$C$14+(($H$8-$C$14)/$C$13)*L75</x:f>
        <x:v>-6.6653685681594075</x:v>
      </x:c>
      <x:c r="N75" s="100" t="n">
        <x:f>IF(OR(L75=0,L75=$C$13),1,IF(MOD(L75,2)=0,2,4))</x:f>
        <x:v>4</x:v>
      </x:c>
      <x:c r="O75" s="100" t="n">
        <x:f>NORM.S.DIST(M75,FALSE)*NORM.S.DIST(($H$10-$H$7*M75)/SQRT(1-$H$7^2),TRUE)</x:f>
        <x:v>8.988342096046786e-11</x:v>
      </x:c>
      <x:c r="P75" s="100" t="n">
        <x:f>N75*O75</x:f>
        <x:v>3.5953368384187143e-10</x:v>
      </x:c>
      <x:c r="Q75" s="100" t="n">
        <x:f>$C$14+(($H$9-$C$14)/$C$13)*L75</x:f>
        <x:v>-6.695556068159408</x:v>
      </x:c>
      <x:c r="R75" s="100" t="n">
        <x:f>NORM.S.DIST(Q75,FALSE)*NORM.S.DIST(($H$11-$H$7*Q75)/SQRT(1-$H$7^2),TRUE)</x:f>
        <x:v>7.346778800577904e-11</x:v>
      </x:c>
      <x:c r="S75" s="100" t="n">
        <x:f>N75*R75</x:f>
        <x:v>2.9387115202311616e-10</x:v>
      </x:c>
    </x:row>
    <x:row r="76">
      <x:c r="A76" s="99" t="n">
        <x:f>A75+1</x:f>
        <x:v>44</x:v>
      </x:c>
      <x:c r="B76" s="110" t="n">
        <x:f>IF(F75&lt;0,D75,B75)</x:f>
        <x:v>538.3165026442557</x:v>
      </x:c>
      <x:c r="C76" s="110" t="n">
        <x:f>IF(F75&lt;0,C75,D75)</x:f>
        <x:v>538.3165026443694</x:v>
      </x:c>
      <x:c r="D76" s="110" t="n">
        <x:f>(B76+C76)/2</x:f>
        <x:v>538.3165026443125</x:v>
      </x:c>
      <x:c r="E76" s="110" t="n">
        <x:f>IF(D76&lt;=0,0,D76*EXP(-$C$9*($C$12-$C$11))*NORM.S.DIST((LN(D76/$C$7)+($C$8-$C$9+0.5*$C$10^2)*($C$12-$C$11))/($C$10*SQRT($C$12-$C$11)),TRUE)-$C$7*EXP(-$C$8*($C$12-$C$11))*NORM.S.DIST((LN(D76/$C$7)+($C$8-$C$9+0.5*$C$10^2)*($C$12-$C$11))/($C$10*SQRT($C$12-$C$11))-$C$10*SQRT($C$12-$C$11),TRUE))</x:f>
        <x:v>49.9999999999734</x:v>
      </x:c>
      <x:c r="F76" s="110" t="n">
        <x:f>E76-$C$6</x:f>
        <x:v>-2.660272002685815e-11</x:v>
      </x:c>
      <x:c r="G76" s="91"/>
      <x:c r="H76" s="91"/>
      <x:c r="I76" s="91"/>
      <x:c r="J76" s="91"/>
      <x:c r="K76" s="91"/>
      <x:c r="L76" s="99" t="n">
        <x:f>70</x:f>
        <x:v>70</x:v>
      </x:c>
      <x:c r="M76" s="100" t="n">
        <x:f>$C$14+(($H$8-$C$14)/$C$13)*L76</x:f>
        <x:v>-6.6460260836399785</x:v>
      </x:c>
      <x:c r="N76" s="100" t="n">
        <x:f>IF(OR(L76=0,L76=$C$13),1,IF(MOD(L76,2)=0,2,4))</x:f>
        <x:v>2</x:v>
      </x:c>
      <x:c r="O76" s="100" t="n">
        <x:f>NORM.S.DIST(M76,FALSE)*NORM.S.DIST(($H$10-$H$7*M76)/SQRT(1-$H$7^2),TRUE)</x:f>
        <x:v>1.0223266350808186e-10</x:v>
      </x:c>
      <x:c r="P76" s="100" t="n">
        <x:f>N76*O76</x:f>
        <x:v>2.0446532701616372e-10</x:v>
      </x:c>
      <x:c r="Q76" s="100" t="n">
        <x:f>$C$14+(($H$9-$C$14)/$C$13)*L76</x:f>
        <x:v>-6.676651083639978</x:v>
      </x:c>
      <x:c r="R76" s="100" t="n">
        <x:f>NORM.S.DIST(Q76,FALSE)*NORM.S.DIST(($H$11-$H$7*Q76)/SQRT(1-$H$7^2),TRUE)</x:f>
        <x:v>8.336659889834771e-11</x:v>
      </x:c>
      <x:c r="S76" s="100" t="n">
        <x:f>N76*R76</x:f>
        <x:v>1.6673319779669542e-10</x:v>
      </x:c>
    </x:row>
    <x:row r="77">
      <x:c r="A77" s="99" t="n">
        <x:f>A76+1</x:f>
        <x:v>45</x:v>
      </x:c>
      <x:c r="B77" s="110" t="n">
        <x:f>IF(F76&lt;0,D76,B76)</x:f>
        <x:v>538.3165026443125</x:v>
      </x:c>
      <x:c r="C77" s="110" t="n">
        <x:f>IF(F76&lt;0,C76,D76)</x:f>
        <x:v>538.3165026443694</x:v>
      </x:c>
      <x:c r="D77" s="110" t="n">
        <x:f>(B77+C77)/2</x:f>
        <x:v>538.316502644341</x:v>
      </x:c>
      <x:c r="E77" s="110" t="n">
        <x:f>IF(D77&lt;=0,0,D77*EXP(-$C$9*($C$12-$C$11))*NORM.S.DIST((LN(D77/$C$7)+($C$8-$C$9+0.5*$C$10^2)*($C$12-$C$11))/($C$10*SQRT($C$12-$C$11)),TRUE)-$C$7*EXP(-$C$8*($C$12-$C$11))*NORM.S.DIST((LN(D77/$C$7)+($C$8-$C$9+0.5*$C$10^2)*($C$12-$C$11))/($C$10*SQRT($C$12-$C$11))-$C$10*SQRT($C$12-$C$11),TRUE))</x:f>
        <x:v>49.99999999999119</x:v>
      </x:c>
      <x:c r="F77" s="110" t="n">
        <x:f>E77-$C$6</x:f>
        <x:v>-8.810729923425242e-12</x:v>
      </x:c>
      <x:c r="G77" s="91"/>
      <x:c r="H77" s="91"/>
      <x:c r="I77" s="91"/>
      <x:c r="J77" s="91"/>
      <x:c r="K77" s="91"/>
      <x:c r="L77" s="99" t="n">
        <x:f>71</x:f>
        <x:v>71</x:v>
      </x:c>
      <x:c r="M77" s="100" t="n">
        <x:f>$C$14+(($H$8-$C$14)/$C$13)*L77</x:f>
        <x:v>-6.6266835991205495</x:v>
      </x:c>
      <x:c r="N77" s="100" t="n">
        <x:f>IF(OR(L77=0,L77=$C$13),1,IF(MOD(L77,2)=0,2,4))</x:f>
        <x:v>4</x:v>
      </x:c>
      <x:c r="O77" s="100" t="n">
        <x:f>NORM.S.DIST(M77,FALSE)*NORM.S.DIST(($H$10-$H$7*M77)/SQRT(1-$H$7^2),TRUE)</x:f>
        <x:v>1.1623509501101024e-10</x:v>
      </x:c>
      <x:c r="P77" s="100" t="n">
        <x:f>N77*O77</x:f>
        <x:v>4.6494038004404094e-10</x:v>
      </x:c>
      <x:c r="Q77" s="100" t="n">
        <x:f>$C$14+(($H$9-$C$14)/$C$13)*L77</x:f>
        <x:v>-6.6577460991205495</x:v>
      </x:c>
      <x:c r="R77" s="100" t="n">
        <x:f>NORM.S.DIST(Q77,FALSE)*NORM.S.DIST(($H$11-$H$7*Q77)/SQRT(1-$H$7^2),TRUE)</x:f>
        <x:v>9.456533984160052e-11</x:v>
      </x:c>
      <x:c r="S77" s="100" t="n">
        <x:f>N77*R77</x:f>
        <x:v>3.782613593664021e-10</x:v>
      </x:c>
    </x:row>
    <x:row r="78">
      <x:c r="A78" s="99" t="n">
        <x:f>A77+1</x:f>
        <x:v>46</x:v>
      </x:c>
      <x:c r="B78" s="110" t="n">
        <x:f>IF(F77&lt;0,D77,B77)</x:f>
        <x:v>538.316502644341</x:v>
      </x:c>
      <x:c r="C78" s="110" t="n">
        <x:f>IF(F77&lt;0,C77,D77)</x:f>
        <x:v>538.3165026443694</x:v>
      </x:c>
      <x:c r="D78" s="110" t="n">
        <x:f>(B78+C78)/2</x:f>
        <x:v>538.3165026443552</x:v>
      </x:c>
      <x:c r="E78" s="110" t="n">
        <x:f>IF(D78&lt;=0,0,D78*EXP(-$C$9*($C$12-$C$11))*NORM.S.DIST((LN(D78/$C$7)+($C$8-$C$9+0.5*$C$10^2)*($C$12-$C$11))/($C$10*SQRT($C$12-$C$11)),TRUE)-$C$7*EXP(-$C$8*($C$12-$C$11))*NORM.S.DIST((LN(D78/$C$7)+($C$8-$C$9+0.5*$C$10^2)*($C$12-$C$11))/($C$10*SQRT($C$12-$C$11))-$C$10*SQRT($C$12-$C$11),TRUE))</x:f>
        <x:v>50.0000000000004</x:v>
      </x:c>
      <x:c r="F78" s="110" t="n">
        <x:f>E78-$C$6</x:f>
        <x:v>3.979039320256561e-13</x:v>
      </x:c>
      <x:c r="G78" s="91"/>
      <x:c r="H78" s="91"/>
      <x:c r="I78" s="91"/>
      <x:c r="J78" s="91"/>
      <x:c r="K78" s="91"/>
      <x:c r="L78" s="99" t="n">
        <x:f>72</x:f>
        <x:v>72</x:v>
      </x:c>
      <x:c r="M78" s="100" t="n">
        <x:f>$C$14+(($H$8-$C$14)/$C$13)*L78</x:f>
        <x:v>-6.6073411146011205</x:v>
      </x:c>
      <x:c r="N78" s="100" t="n">
        <x:f>IF(OR(L78=0,L78=$C$13),1,IF(MOD(L78,2)=0,2,4))</x:f>
        <x:v>2</x:v>
      </x:c>
      <x:c r="O78" s="100" t="n">
        <x:f>NORM.S.DIST(M78,FALSE)*NORM.S.DIST(($H$10-$H$7*M78)/SQRT(1-$H$7^2),TRUE)</x:f>
        <x:v>1.3210595372740638e-10</x:v>
      </x:c>
      <x:c r="P78" s="100" t="n">
        <x:f>N78*O78</x:f>
        <x:v>2.6421190745481276e-10</x:v>
      </x:c>
      <x:c r="Q78" s="100" t="n">
        <x:f>$C$14+(($H$9-$C$14)/$C$13)*L78</x:f>
        <x:v>-6.638841114601121</x:v>
      </x:c>
      <x:c r="R78" s="100" t="n">
        <x:f>NORM.S.DIST(Q78,FALSE)*NORM.S.DIST(($H$11-$H$7*Q78)/SQRT(1-$H$7^2),TRUE)</x:f>
        <x:v>1.0723009113970845e-10</x:v>
      </x:c>
      <x:c r="S78" s="100" t="n">
        <x:f>N78*R78</x:f>
        <x:v>2.144601822794169e-10</x:v>
      </x:c>
    </x:row>
    <x:row r="79">
      <x:c r="A79" s="99" t="n">
        <x:f>A78+1</x:f>
        <x:v>47</x:v>
      </x:c>
      <x:c r="B79" s="110" t="n">
        <x:f>IF(F78&lt;0,D78,B78)</x:f>
        <x:v>538.316502644341</x:v>
      </x:c>
      <x:c r="C79" s="110" t="n">
        <x:f>IF(F78&lt;0,C78,D78)</x:f>
        <x:v>538.3165026443552</x:v>
      </x:c>
      <x:c r="D79" s="110" t="n">
        <x:f>(B79+C79)/2</x:f>
        <x:v>538.316502644348</x:v>
      </x:c>
      <x:c r="E79" s="110" t="n">
        <x:f>IF(D79&lt;=0,0,D79*EXP(-$C$9*($C$12-$C$11))*NORM.S.DIST((LN(D79/$C$7)+($C$8-$C$9+0.5*$C$10^2)*($C$12-$C$11))/($C$10*SQRT($C$12-$C$11)),TRUE)-$C$7*EXP(-$C$8*($C$12-$C$11))*NORM.S.DIST((LN(D79/$C$7)+($C$8-$C$9+0.5*$C$10^2)*($C$12-$C$11))/($C$10*SQRT($C$12-$C$11))-$C$10*SQRT($C$12-$C$11),TRUE))</x:f>
        <x:v>49.99999999999574</x:v>
      </x:c>
      <x:c r="F79" s="110" t="n">
        <x:f>E79-$C$6</x:f>
        <x:v>-4.263256414560601e-12</x:v>
      </x:c>
      <x:c r="G79" s="91"/>
      <x:c r="H79" s="91"/>
      <x:c r="I79" s="91"/>
      <x:c r="J79" s="91"/>
      <x:c r="K79" s="91"/>
      <x:c r="L79" s="99" t="n">
        <x:f>73</x:f>
        <x:v>73</x:v>
      </x:c>
      <x:c r="M79" s="100" t="n">
        <x:f>$C$14+(($H$8-$C$14)/$C$13)*L79</x:f>
        <x:v>-6.587998630081692</x:v>
      </x:c>
      <x:c r="N79" s="100" t="n">
        <x:f>IF(OR(L79=0,L79=$C$13),1,IF(MOD(L79,2)=0,2,4))</x:f>
        <x:v>4</x:v>
      </x:c>
      <x:c r="O79" s="100" t="n">
        <x:f>NORM.S.DIST(M79,FALSE)*NORM.S.DIST(($H$10-$H$7*M79)/SQRT(1-$H$7^2),TRUE)</x:f>
        <x:v>1.5008767265717281e-10</x:v>
      </x:c>
      <x:c r="P79" s="100" t="n">
        <x:f>N79*O79</x:f>
        <x:v>6.003506906286913e-10</x:v>
      </x:c>
      <x:c r="Q79" s="100" t="n">
        <x:f>$C$14+(($H$9-$C$14)/$C$13)*L79</x:f>
        <x:v>-6.619936130081692</x:v>
      </x:c>
      <x:c r="R79" s="100" t="n">
        <x:f>NORM.S.DIST(Q79,FALSE)*NORM.S.DIST(($H$11-$H$7*Q79)/SQRT(1-$H$7^2),TRUE)</x:f>
        <x:v>1.2154753239993777e-10</x:v>
      </x:c>
      <x:c r="S79" s="100" t="n">
        <x:f>N79*R79</x:f>
        <x:v>4.861901295997511e-10</x:v>
      </x:c>
    </x:row>
    <x:row r="80">
      <x:c r="A80" s="99" t="n">
        <x:f>A79+1</x:f>
        <x:v>48</x:v>
      </x:c>
      <x:c r="B80" s="110" t="n">
        <x:f>IF(F79&lt;0,D79,B79)</x:f>
        <x:v>538.316502644348</x:v>
      </x:c>
      <x:c r="C80" s="110" t="n">
        <x:f>IF(F79&lt;0,C79,D79)</x:f>
        <x:v>538.3165026443552</x:v>
      </x:c>
      <x:c r="D80" s="110" t="n">
        <x:f>(B80+C80)/2</x:f>
        <x:v>538.3165026443517</x:v>
      </x:c>
      <x:c r="E80" s="110" t="n">
        <x:f>IF(D80&lt;=0,0,D80*EXP(-$C$9*($C$12-$C$11))*NORM.S.DIST((LN(D80/$C$7)+($C$8-$C$9+0.5*$C$10^2)*($C$12-$C$11))/($C$10*SQRT($C$12-$C$11)),TRUE)-$C$7*EXP(-$C$8*($C$12-$C$11))*NORM.S.DIST((LN(D80/$C$7)+($C$8-$C$9+0.5*$C$10^2)*($C$12-$C$11))/($C$10*SQRT($C$12-$C$11))-$C$10*SQRT($C$12-$C$11),TRUE))</x:f>
        <x:v>49.99999999999818</x:v>
      </x:c>
      <x:c r="F80" s="110" t="n">
        <x:f>E80-$C$6</x:f>
        <x:v>-1.8189894035458565e-12</x:v>
      </x:c>
      <x:c r="G80" s="91"/>
      <x:c r="H80" s="91"/>
      <x:c r="I80" s="91"/>
      <x:c r="J80" s="91"/>
      <x:c r="K80" s="91"/>
      <x:c r="L80" s="99" t="n">
        <x:f>74</x:f>
        <x:v>74</x:v>
      </x:c>
      <x:c r="M80" s="100" t="n">
        <x:f>$C$14+(($H$8-$C$14)/$C$13)*L80</x:f>
        <x:v>-6.568656145562263</x:v>
      </x:c>
      <x:c r="N80" s="100" t="n">
        <x:f>IF(OR(L80=0,L80=$C$13),1,IF(MOD(L80,2)=0,2,4))</x:f>
        <x:v>2</x:v>
      </x:c>
      <x:c r="O80" s="100" t="n">
        <x:f>NORM.S.DIST(M80,FALSE)*NORM.S.DIST(($H$10-$H$7*M80)/SQRT(1-$H$7^2),TRUE)</x:f>
        <x:v>1.704532053100097e-10</x:v>
      </x:c>
      <x:c r="P80" s="100" t="n">
        <x:f>N80*O80</x:f>
        <x:v>3.409064106200194e-10</x:v>
      </x:c>
      <x:c r="Q80" s="100" t="n">
        <x:f>$C$14+(($H$9-$C$14)/$C$13)*L80</x:f>
        <x:v>-6.6010311455622634</x:v>
      </x:c>
      <x:c r="R80" s="100" t="n">
        <x:f>NORM.S.DIST(Q80,FALSE)*NORM.S.DIST(($H$11-$H$7*Q80)/SQRT(1-$H$7^2),TRUE)</x:f>
        <x:v>1.3772741666968383e-10</x:v>
      </x:c>
      <x:c r="S80" s="100" t="n">
        <x:f>N80*R80</x:f>
        <x:v>2.7545483333936766e-10</x:v>
      </x:c>
    </x:row>
    <x:row r="81">
      <x:c r="A81" s="99" t="n">
        <x:f>A80+1</x:f>
        <x:v>49</x:v>
      </x:c>
      <x:c r="B81" s="110" t="n">
        <x:f>IF(F80&lt;0,D80,B80)</x:f>
        <x:v>538.3165026443517</x:v>
      </x:c>
      <x:c r="C81" s="110" t="n">
        <x:f>IF(F80&lt;0,C80,D80)</x:f>
        <x:v>538.3165026443552</x:v>
      </x:c>
      <x:c r="D81" s="110" t="n">
        <x:f>(B81+C81)/2</x:f>
        <x:v>538.3165026443535</x:v>
      </x:c>
      <x:c r="E81" s="110" t="n">
        <x:f>IF(D81&lt;=0,0,D81*EXP(-$C$9*($C$12-$C$11))*NORM.S.DIST((LN(D81/$C$7)+($C$8-$C$9+0.5*$C$10^2)*($C$12-$C$11))/($C$10*SQRT($C$12-$C$11)),TRUE)-$C$7*EXP(-$C$8*($C$12-$C$11))*NORM.S.DIST((LN(D81/$C$7)+($C$8-$C$9+0.5*$C$10^2)*($C$12-$C$11))/($C$10*SQRT($C$12-$C$11))-$C$10*SQRT($C$12-$C$11),TRUE))</x:f>
        <x:v>49.99999999999932</x:v>
      </x:c>
      <x:c r="F81" s="110" t="n">
        <x:f>E81-$C$6</x:f>
        <x:v>-6.821210263296962e-13</x:v>
      </x:c>
      <x:c r="G81" s="91"/>
      <x:c r="H81" s="91"/>
      <x:c r="I81" s="91"/>
      <x:c r="J81" s="91"/>
      <x:c r="K81" s="91"/>
      <x:c r="L81" s="99" t="n">
        <x:f>75</x:f>
        <x:v>75</x:v>
      </x:c>
      <x:c r="M81" s="100" t="n">
        <x:f>$C$14+(($H$8-$C$14)/$C$13)*L81</x:f>
        <x:v>-6.549313661042834</x:v>
      </x:c>
      <x:c r="N81" s="100" t="n">
        <x:f>IF(OR(L81=0,L81=$C$13),1,IF(MOD(L81,2)=0,2,4))</x:f>
        <x:v>4</x:v>
      </x:c>
      <x:c r="O81" s="100" t="n">
        <x:f>NORM.S.DIST(M81,FALSE)*NORM.S.DIST(($H$10-$H$7*M81)/SQRT(1-$H$7^2),TRUE)</x:f>
        <x:v>1.9350974391412616e-10</x:v>
      </x:c>
      <x:c r="P81" s="100" t="n">
        <x:f>N81*O81</x:f>
        <x:v>7.740389756565046e-10</x:v>
      </x:c>
      <x:c r="Q81" s="100" t="n">
        <x:f>$C$14+(($H$9-$C$14)/$C$13)*L81</x:f>
        <x:v>-6.582126161042834</x:v>
      </x:c>
      <x:c r="R81" s="100" t="n">
        <x:f>NORM.S.DIST(Q81,FALSE)*NORM.S.DIST(($H$11-$H$7*Q81)/SQRT(1-$H$7^2),TRUE)</x:f>
        <x:v>1.5600533145446736e-10</x:v>
      </x:c>
      <x:c r="S81" s="100" t="n">
        <x:f>N81*R81</x:f>
        <x:v>6.240213258178694e-10</x:v>
      </x:c>
    </x:row>
    <x:row r="82">
      <x:c r="A82" s="99" t="n">
        <x:f>A81+1</x:f>
        <x:v>50</x:v>
      </x:c>
      <x:c r="B82" s="110" t="n">
        <x:f>IF(F81&lt;0,D81,B81)</x:f>
        <x:v>538.3165026443517</x:v>
      </x:c>
      <x:c r="C82" s="110" t="n">
        <x:f>IF(F81&lt;0,C81,D81)</x:f>
        <x:v>538.3165026443535</x:v>
      </x:c>
      <x:c r="D82" s="110" t="n">
        <x:f>(B82+C82)/2</x:f>
        <x:v>538.3165026443526</x:v>
      </x:c>
      <x:c r="E82" s="110" t="n">
        <x:f>IF(D82&lt;=0,0,D82*EXP(-$C$9*($C$12-$C$11))*NORM.S.DIST((LN(D82/$C$7)+($C$8-$C$9+0.5*$C$10^2)*($C$12-$C$11))/($C$10*SQRT($C$12-$C$11)),TRUE)-$C$7*EXP(-$C$8*($C$12-$C$11))*NORM.S.DIST((LN(D82/$C$7)+($C$8-$C$9+0.5*$C$10^2)*($C$12-$C$11))/($C$10*SQRT($C$12-$C$11))-$C$10*SQRT($C$12-$C$11),TRUE))</x:f>
        <x:v>49.999999999998636</x:v>
      </x:c>
      <x:c r="F82" s="110" t="n">
        <x:f>E82-$C$6</x:f>
        <x:v>-1.3642420526593924e-12</x:v>
      </x:c>
      <x:c r="G82" s="91"/>
      <x:c r="H82" s="91"/>
      <x:c r="I82" s="91"/>
      <x:c r="J82" s="91"/>
      <x:c r="K82" s="91"/>
      <x:c r="L82" s="99" t="n">
        <x:f>76</x:f>
        <x:v>76</x:v>
      </x:c>
      <x:c r="M82" s="100" t="n">
        <x:f>$C$14+(($H$8-$C$14)/$C$13)*L82</x:f>
        <x:v>-6.529971176523405</x:v>
      </x:c>
      <x:c r="N82" s="100" t="n">
        <x:f>IF(OR(L82=0,L82=$C$13),1,IF(MOD(L82,2)=0,2,4))</x:f>
        <x:v>2</x:v>
      </x:c>
      <x:c r="O82" s="100" t="n">
        <x:f>NORM.S.DIST(M82,FALSE)*NORM.S.DIST(($H$10-$H$7*M82)/SQRT(1-$H$7^2),TRUE)</x:f>
        <x:v>2.1960287457353564e-10</x:v>
      </x:c>
      <x:c r="P82" s="100" t="n">
        <x:f>N82*O82</x:f>
        <x:v>4.392057491470713e-10</x:v>
      </x:c>
      <x:c r="Q82" s="100" t="n">
        <x:f>$C$14+(($H$9-$C$14)/$C$13)*L82</x:f>
        <x:v>-6.563221176523405</x:v>
      </x:c>
      <x:c r="R82" s="100" t="n">
        <x:f>NORM.S.DIST(Q82,FALSE)*NORM.S.DIST(($H$11-$H$7*Q82)/SQRT(1-$H$7^2),TRUE)</x:f>
        <x:v>1.7664577860896485e-10</x:v>
      </x:c>
      <x:c r="S82" s="100" t="n">
        <x:f>N82*R82</x:f>
        <x:v>3.532915572179297e-10</x:v>
      </x:c>
    </x:row>
    <x:row r="83">
      <x:c r="A83" s="99" t="n">
        <x:f>A82+1</x:f>
        <x:v>51</x:v>
      </x:c>
      <x:c r="B83" s="110" t="n">
        <x:f>IF(F82&lt;0,D82,B82)</x:f>
        <x:v>538.3165026443526</x:v>
      </x:c>
      <x:c r="C83" s="110" t="n">
        <x:f>IF(F82&lt;0,C82,D82)</x:f>
        <x:v>538.3165026443535</x:v>
      </x:c>
      <x:c r="D83" s="110" t="n">
        <x:f>(B83+C83)/2</x:f>
        <x:v>538.316502644353</x:v>
      </x:c>
      <x:c r="E83" s="110" t="n">
        <x:f>IF(D83&lt;=0,0,D83*EXP(-$C$9*($C$12-$C$11))*NORM.S.DIST((LN(D83/$C$7)+($C$8-$C$9+0.5*$C$10^2)*($C$12-$C$11))/($C$10*SQRT($C$12-$C$11)),TRUE)-$C$7*EXP(-$C$8*($C$12-$C$11))*NORM.S.DIST((LN(D83/$C$7)+($C$8-$C$9+0.5*$C$10^2)*($C$12-$C$11))/($C$10*SQRT($C$12-$C$11))-$C$10*SQRT($C$12-$C$11),TRUE))</x:f>
        <x:v>49.99999999999892</x:v>
      </x:c>
      <x:c r="F83" s="110" t="n">
        <x:f>E83-$C$6</x:f>
        <x:v>-1.0800249583553523e-12</x:v>
      </x:c>
      <x:c r="G83" s="91"/>
      <x:c r="H83" s="91"/>
      <x:c r="I83" s="91"/>
      <x:c r="J83" s="91"/>
      <x:c r="K83" s="91"/>
      <x:c r="L83" s="99" t="n">
        <x:f>77</x:f>
        <x:v>77</x:v>
      </x:c>
      <x:c r="M83" s="100" t="n">
        <x:f>$C$14+(($H$8-$C$14)/$C$13)*L83</x:f>
        <x:v>-6.510628692003976</x:v>
      </x:c>
      <x:c r="N83" s="100" t="n">
        <x:f>IF(OR(L83=0,L83=$C$13),1,IF(MOD(L83,2)=0,2,4))</x:f>
        <x:v>4</x:v>
      </x:c>
      <x:c r="O83" s="100" t="n">
        <x:f>NORM.S.DIST(M83,FALSE)*NORM.S.DIST(($H$10-$H$7*M83)/SQRT(1-$H$7^2),TRUE)</x:f>
        <x:v>2.4912121870936133e-10</x:v>
      </x:c>
      <x:c r="P83" s="100" t="n">
        <x:f>N83*O83</x:f>
        <x:v>9.964848748374453e-10</x:v>
      </x:c>
      <x:c r="Q83" s="100" t="n">
        <x:f>$C$14+(($H$9-$C$14)/$C$13)*L83</x:f>
        <x:v>-6.5443161920039765</x:v>
      </x:c>
      <x:c r="R83" s="100" t="n">
        <x:f>NORM.S.DIST(Q83,FALSE)*NORM.S.DIST(($H$11-$H$7*Q83)/SQRT(1-$H$7^2),TRUE)</x:f>
        <x:v>1.999456085079054e-10</x:v>
      </x:c>
      <x:c r="S83" s="100" t="n">
        <x:f>N83*R83</x:f>
        <x:v>7.997824340316216e-10</x:v>
      </x:c>
    </x:row>
    <x:row r="84">
      <x:c r="A84" s="99" t="n">
        <x:f>A83+1</x:f>
        <x:v>52</x:v>
      </x:c>
      <x:c r="B84" s="110" t="n">
        <x:f>IF(F83&lt;0,D83,B83)</x:f>
        <x:v>538.316502644353</x:v>
      </x:c>
      <x:c r="C84" s="110" t="n">
        <x:f>IF(F83&lt;0,C83,D83)</x:f>
        <x:v>538.3165026443535</x:v>
      </x:c>
      <x:c r="D84" s="110" t="n">
        <x:f>(B84+C84)/2</x:f>
        <x:v>538.3165026443532</x:v>
      </x:c>
      <x:c r="E84" s="110" t="n">
        <x:f>IF(D84&lt;=0,0,D84*EXP(-$C$9*($C$12-$C$11))*NORM.S.DIST((LN(D84/$C$7)+($C$8-$C$9+0.5*$C$10^2)*($C$12-$C$11))/($C$10*SQRT($C$12-$C$11)),TRUE)-$C$7*EXP(-$C$8*($C$12-$C$11))*NORM.S.DIST((LN(D84/$C$7)+($C$8-$C$9+0.5*$C$10^2)*($C$12-$C$11))/($C$10*SQRT($C$12-$C$11))-$C$10*SQRT($C$12-$C$11),TRUE))</x:f>
        <x:v>49.99999999999915</x:v>
      </x:c>
      <x:c r="F84" s="110" t="n">
        <x:f>E84-$C$6</x:f>
        <x:v>-8.526512829121202e-13</x:v>
      </x:c>
      <x:c r="G84" s="91"/>
      <x:c r="H84" s="91"/>
      <x:c r="I84" s="91"/>
      <x:c r="J84" s="91"/>
      <x:c r="K84" s="91"/>
      <x:c r="L84" s="99" t="n">
        <x:f>78</x:f>
        <x:v>78</x:v>
      </x:c>
      <x:c r="M84" s="100" t="n">
        <x:f>$C$14+(($H$8-$C$14)/$C$13)*L84</x:f>
        <x:v>-6.491286207484547</x:v>
      </x:c>
      <x:c r="N84" s="100" t="n">
        <x:f>IF(OR(L84=0,L84=$C$13),1,IF(MOD(L84,2)=0,2,4))</x:f>
        <x:v>2</x:v>
      </x:c>
      <x:c r="O84" s="100" t="n">
        <x:f>NORM.S.DIST(M84,FALSE)*NORM.S.DIST(($H$10-$H$7*M84)/SQRT(1-$H$7^2),TRUE)</x:f>
        <x:v>2.8250161544557817e-10</x:v>
      </x:c>
      <x:c r="P84" s="100" t="n">
        <x:f>N84*O84</x:f>
        <x:v>5.650032308911563e-10</x:v>
      </x:c>
      <x:c r="Q84" s="100" t="n">
        <x:f>$C$14+(($H$9-$C$14)/$C$13)*L84</x:f>
        <x:v>-6.525411207484548</x:v>
      </x:c>
      <x:c r="R84" s="100" t="n">
        <x:f>NORM.S.DIST(Q84,FALSE)*NORM.S.DIST(($H$11-$H$7*Q84)/SQRT(1-$H$7^2),TRUE)</x:f>
        <x:v>2.2623784766506652e-10</x:v>
      </x:c>
      <x:c r="S84" s="100" t="n">
        <x:f>N84*R84</x:f>
        <x:v>4.5247569533013303e-10</x:v>
      </x:c>
    </x:row>
    <x:row r="85">
      <x:c r="A85" s="99" t="n">
        <x:f>A84+1</x:f>
        <x:v>53</x:v>
      </x:c>
      <x:c r="B85" s="110" t="n">
        <x:f>IF(F84&lt;0,D84,B84)</x:f>
        <x:v>538.316502644353</x:v>
      </x:c>
      <x:c r="C85" s="110" t="n">
        <x:f>IF(F84&lt;0,C84,D84)</x:f>
        <x:v>538.3165026443532</x:v>
      </x:c>
      <x:c r="D85" s="110" t="n">
        <x:f>(B85+C85)/2</x:f>
        <x:v>538.3165026443531</x:v>
      </x:c>
      <x:c r="E85" s="110" t="n">
        <x:f>IF(D85&lt;=0,0,D85*EXP(-$C$9*($C$12-$C$11))*NORM.S.DIST((LN(D85/$C$7)+($C$8-$C$9+0.5*$C$10^2)*($C$12-$C$11))/($C$10*SQRT($C$12-$C$11)),TRUE)-$C$7*EXP(-$C$8*($C$12-$C$11))*NORM.S.DIST((LN(D85/$C$7)+($C$8-$C$9+0.5*$C$10^2)*($C$12-$C$11))/($C$10*SQRT($C$12-$C$11))-$C$10*SQRT($C$12-$C$11),TRUE))</x:f>
        <x:v>49.999999999999034</x:v>
      </x:c>
      <x:c r="F85" s="110" t="n">
        <x:f>E85-$C$6</x:f>
        <x:v>-9.663381206337363e-13</x:v>
      </x:c>
      <x:c r="G85" s="91"/>
      <x:c r="H85" s="91"/>
      <x:c r="I85" s="91"/>
      <x:c r="J85" s="91"/>
      <x:c r="K85" s="91"/>
      <x:c r="L85" s="99" t="n">
        <x:f>79</x:f>
        <x:v>79</x:v>
      </x:c>
      <x:c r="M85" s="100" t="n">
        <x:f>$C$14+(($H$8-$C$14)/$C$13)*L85</x:f>
        <x:v>-6.471943722965118</x:v>
      </x:c>
      <x:c r="N85" s="100" t="n">
        <x:f>IF(OR(L85=0,L85=$C$13),1,IF(MOD(L85,2)=0,2,4))</x:f>
        <x:v>4</x:v>
      </x:c>
      <x:c r="O85" s="100" t="n">
        <x:f>NORM.S.DIST(M85,FALSE)*NORM.S.DIST(($H$10-$H$7*M85)/SQRT(1-$H$7^2),TRUE)</x:f>
        <x:v>3.2023490547041433e-10</x:v>
      </x:c>
      <x:c r="P85" s="100" t="n">
        <x:f>N85*O85</x:f>
        <x:v>1.2809396218816573e-9</x:v>
      </x:c>
      <x:c r="Q85" s="100" t="n">
        <x:f>$C$14+(($H$9-$C$14)/$C$13)*L85</x:f>
        <x:v>-6.506506222965118</x:v>
      </x:c>
      <x:c r="R85" s="100" t="n">
        <x:f>NORM.S.DIST(Q85,FALSE)*NORM.S.DIST(($H$11-$H$7*Q85)/SQRT(1-$H$7^2),TRUE)</x:f>
        <x:v>2.55895963109879e-10</x:v>
      </x:c>
      <x:c r="S85" s="100" t="n">
        <x:f>N85*R85</x:f>
        <x:v>1.023583852439516e-9</x:v>
      </x:c>
    </x:row>
    <x:row r="86">
      <x:c r="A86" s="99" t="n">
        <x:f>A85+1</x:f>
        <x:v>54</x:v>
      </x:c>
      <x:c r="B86" s="110" t="n">
        <x:f>IF(F85&lt;0,D85,B85)</x:f>
        <x:v>538.316502644353</x:v>
      </x:c>
      <x:c r="C86" s="110" t="n">
        <x:f>IF(F85&lt;0,C85,D85)</x:f>
        <x:v>538.3165026443531</x:v>
      </x:c>
      <x:c r="D86" s="110" t="n">
        <x:f>(B86+C86)/2</x:f>
        <x:v>538.316502644353</x:v>
      </x:c>
      <x:c r="E86" s="110" t="n">
        <x:f>IF(D86&lt;=0,0,D86*EXP(-$C$9*($C$12-$C$11))*NORM.S.DIST((LN(D86/$C$7)+($C$8-$C$9+0.5*$C$10^2)*($C$12-$C$11))/($C$10*SQRT($C$12-$C$11)),TRUE)-$C$7*EXP(-$C$8*($C$12-$C$11))*NORM.S.DIST((LN(D86/$C$7)+($C$8-$C$9+0.5*$C$10^2)*($C$12-$C$11))/($C$10*SQRT($C$12-$C$11))-$C$10*SQRT($C$12-$C$11),TRUE))</x:f>
        <x:v>49.99999999999892</x:v>
      </x:c>
      <x:c r="F86" s="110" t="n">
        <x:f>E86-$C$6</x:f>
        <x:v>-1.0800249583553523e-12</x:v>
      </x:c>
      <x:c r="G86" s="91"/>
      <x:c r="H86" s="91"/>
      <x:c r="I86" s="91"/>
      <x:c r="J86" s="91"/>
      <x:c r="K86" s="91"/>
      <x:c r="L86" s="99" t="n">
        <x:f>80</x:f>
        <x:v>80</x:v>
      </x:c>
      <x:c r="M86" s="100" t="n">
        <x:f>$C$14+(($H$8-$C$14)/$C$13)*L86</x:f>
        <x:v>-6.4526012384456894</x:v>
      </x:c>
      <x:c r="N86" s="100" t="n">
        <x:f>IF(OR(L86=0,L86=$C$13),1,IF(MOD(L86,2)=0,2,4))</x:f>
        <x:v>2</x:v>
      </x:c>
      <x:c r="O86" s="100" t="n">
        <x:f>NORM.S.DIST(M86,FALSE)*NORM.S.DIST(($H$10-$H$7*M86)/SQRT(1-$H$7^2),TRUE)</x:f>
        <x:v>3.628723833737549e-10</x:v>
      </x:c>
      <x:c r="P86" s="100" t="n">
        <x:f>N86*O86</x:f>
        <x:v>7.257447667475098e-10</x:v>
      </x:c>
      <x:c r="Q86" s="100" t="n">
        <x:f>$C$14+(($H$9-$C$14)/$C$13)*L86</x:f>
        <x:v>-6.48760123844569</x:v>
      </x:c>
      <x:c r="R86" s="100" t="n">
        <x:f>NORM.S.DIST(Q86,FALSE)*NORM.S.DIST(($H$11-$H$7*Q86)/SQRT(1-$H$7^2),TRUE)</x:f>
        <x:v>2.8933861138838804e-10</x:v>
      </x:c>
      <x:c r="S86" s="100" t="n">
        <x:f>N86*R86</x:f>
        <x:v>5.786772227767761e-10</x:v>
      </x:c>
    </x:row>
    <x:row r="87">
      <x:c r="A87" s="99" t="n">
        <x:f>A86+1</x:f>
        <x:v>55</x:v>
      </x:c>
      <x:c r="B87" s="110" t="n">
        <x:f>IF(F86&lt;0,D86,B86)</x:f>
        <x:v>538.316502644353</x:v>
      </x:c>
      <x:c r="C87" s="110" t="n">
        <x:f>IF(F86&lt;0,C86,D86)</x:f>
        <x:v>538.3165026443531</x:v>
      </x:c>
      <x:c r="D87" s="110" t="n">
        <x:f>(B87+C87)/2</x:f>
        <x:v>538.316502644353</x:v>
      </x:c>
      <x:c r="E87" s="110" t="n">
        <x:f>IF(D87&lt;=0,0,D87*EXP(-$C$9*($C$12-$C$11))*NORM.S.DIST((LN(D87/$C$7)+($C$8-$C$9+0.5*$C$10^2)*($C$12-$C$11))/($C$10*SQRT($C$12-$C$11)),TRUE)-$C$7*EXP(-$C$8*($C$12-$C$11))*NORM.S.DIST((LN(D87/$C$7)+($C$8-$C$9+0.5*$C$10^2)*($C$12-$C$11))/($C$10*SQRT($C$12-$C$11))-$C$10*SQRT($C$12-$C$11),TRUE))</x:f>
        <x:v>49.99999999999892</x:v>
      </x:c>
      <x:c r="F87" s="110" t="n">
        <x:f>E87-$C$6</x:f>
        <x:v>-1.0800249583553523e-12</x:v>
      </x:c>
      <x:c r="G87" s="91"/>
      <x:c r="H87" s="91"/>
      <x:c r="I87" s="91"/>
      <x:c r="J87" s="91"/>
      <x:c r="K87" s="91"/>
      <x:c r="L87" s="99" t="n">
        <x:f>81</x:f>
        <x:v>81</x:v>
      </x:c>
      <x:c r="M87" s="100" t="n">
        <x:f>$C$14+(($H$8-$C$14)/$C$13)*L87</x:f>
        <x:v>-6.4332587539262605</x:v>
      </x:c>
      <x:c r="N87" s="100" t="n">
        <x:f>IF(OR(L87=0,L87=$C$13),1,IF(MOD(L87,2)=0,2,4))</x:f>
        <x:v>4</x:v>
      </x:c>
      <x:c r="O87" s="100" t="n">
        <x:f>NORM.S.DIST(M87,FALSE)*NORM.S.DIST(($H$10-$H$7*M87)/SQRT(1-$H$7^2),TRUE)</x:f>
        <x:v>4.1103299258582125e-10</x:v>
      </x:c>
      <x:c r="P87" s="100" t="n">
        <x:f>N87*O87</x:f>
        <x:v>1.644131970343285e-9</x:v>
      </x:c>
      <x:c r="Q87" s="100" t="n">
        <x:f>$C$14+(($H$9-$C$14)/$C$13)*L87</x:f>
        <x:v>-6.468696253926261</x:v>
      </x:c>
      <x:c r="R87" s="100" t="n">
        <x:f>NORM.S.DIST(Q87,FALSE)*NORM.S.DIST(($H$11-$H$7*Q87)/SQRT(1-$H$7^2),TRUE)</x:f>
        <x:v>3.2703492506795064e-10</x:v>
      </x:c>
      <x:c r="S87" s="100" t="n">
        <x:f>N87*R87</x:f>
        <x:v>1.3081397002718026e-9</x:v>
      </x:c>
    </x:row>
    <x:row r="88">
      <x:c r="A88" s="99" t="n">
        <x:f>A87+1</x:f>
        <x:v>56</x:v>
      </x:c>
      <x:c r="B88" s="110" t="n">
        <x:f>IF(F87&lt;0,D87,B87)</x:f>
        <x:v>538.316502644353</x:v>
      </x:c>
      <x:c r="C88" s="110" t="n">
        <x:f>IF(F87&lt;0,C87,D87)</x:f>
        <x:v>538.3165026443531</x:v>
      </x:c>
      <x:c r="D88" s="110" t="n">
        <x:f>(B88+C88)/2</x:f>
        <x:v>538.316502644353</x:v>
      </x:c>
      <x:c r="E88" s="110" t="n">
        <x:f>IF(D88&lt;=0,0,D88*EXP(-$C$9*($C$12-$C$11))*NORM.S.DIST((LN(D88/$C$7)+($C$8-$C$9+0.5*$C$10^2)*($C$12-$C$11))/($C$10*SQRT($C$12-$C$11)),TRUE)-$C$7*EXP(-$C$8*($C$12-$C$11))*NORM.S.DIST((LN(D88/$C$7)+($C$8-$C$9+0.5*$C$10^2)*($C$12-$C$11))/($C$10*SQRT($C$12-$C$11))-$C$10*SQRT($C$12-$C$11),TRUE))</x:f>
        <x:v>49.99999999999892</x:v>
      </x:c>
      <x:c r="F88" s="110" t="n">
        <x:f>E88-$C$6</x:f>
        <x:v>-1.0800249583553523e-12</x:v>
      </x:c>
      <x:c r="G88" s="91"/>
      <x:c r="H88" s="91"/>
      <x:c r="I88" s="91"/>
      <x:c r="J88" s="91"/>
      <x:c r="K88" s="91"/>
      <x:c r="L88" s="99" t="n">
        <x:f>82</x:f>
        <x:v>82</x:v>
      </x:c>
      <x:c r="M88" s="100" t="n">
        <x:f>$C$14+(($H$8-$C$14)/$C$13)*L88</x:f>
        <x:v>-6.4139162694068315</x:v>
      </x:c>
      <x:c r="N88" s="100" t="n">
        <x:f>IF(OR(L88=0,L88=$C$13),1,IF(MOD(L88,2)=0,2,4))</x:f>
        <x:v>2</x:v>
      </x:c>
      <x:c r="O88" s="100" t="n">
        <x:f>NORM.S.DIST(M88,FALSE)*NORM.S.DIST(($H$10-$H$7*M88)/SQRT(1-$H$7^2),TRUE)</x:f>
        <x:v>4.6541134488537054e-10</x:v>
      </x:c>
      <x:c r="P88" s="100" t="n">
        <x:f>N88*O88</x:f>
        <x:v>9.308226897707411e-10</x:v>
      </x:c>
      <x:c r="Q88" s="100" t="n">
        <x:f>$C$14+(($H$9-$C$14)/$C$13)*L88</x:f>
        <x:v>-6.449791269406832</x:v>
      </x:c>
      <x:c r="R88" s="100" t="n">
        <x:f>NORM.S.DIST(Q88,FALSE)*NORM.S.DIST(($H$11-$H$7*Q88)/SQRT(1-$H$7^2),TRUE)</x:f>
        <x:v>3.695103951356985e-10</x:v>
      </x:c>
      <x:c r="S88" s="100" t="n">
        <x:f>N88*R88</x:f>
        <x:v>7.39020790271397e-10</x:v>
      </x:c>
    </x:row>
    <x:row r="89">
      <x:c r="A89" s="99" t="n">
        <x:f>A88+1</x:f>
        <x:v>57</x:v>
      </x:c>
      <x:c r="B89" s="110" t="n">
        <x:f>IF(F88&lt;0,D88,B88)</x:f>
        <x:v>538.316502644353</x:v>
      </x:c>
      <x:c r="C89" s="110" t="n">
        <x:f>IF(F88&lt;0,C88,D88)</x:f>
        <x:v>538.3165026443531</x:v>
      </x:c>
      <x:c r="D89" s="110" t="n">
        <x:f>(B89+C89)/2</x:f>
        <x:v>538.316502644353</x:v>
      </x:c>
      <x:c r="E89" s="110" t="n">
        <x:f>IF(D89&lt;=0,0,D89*EXP(-$C$9*($C$12-$C$11))*NORM.S.DIST((LN(D89/$C$7)+($C$8-$C$9+0.5*$C$10^2)*($C$12-$C$11))/($C$10*SQRT($C$12-$C$11)),TRUE)-$C$7*EXP(-$C$8*($C$12-$C$11))*NORM.S.DIST((LN(D89/$C$7)+($C$8-$C$9+0.5*$C$10^2)*($C$12-$C$11))/($C$10*SQRT($C$12-$C$11))-$C$10*SQRT($C$12-$C$11),TRUE))</x:f>
        <x:v>49.99999999999892</x:v>
      </x:c>
      <x:c r="F89" s="110" t="n">
        <x:f>E89-$C$6</x:f>
        <x:v>-1.0800249583553523e-12</x:v>
      </x:c>
      <x:c r="G89" s="91"/>
      <x:c r="H89" s="91"/>
      <x:c r="I89" s="91"/>
      <x:c r="J89" s="91"/>
      <x:c r="K89" s="91"/>
      <x:c r="L89" s="99" t="n">
        <x:f>83</x:f>
        <x:v>83</x:v>
      </x:c>
      <x:c r="M89" s="100" t="n">
        <x:f>$C$14+(($H$8-$C$14)/$C$13)*L89</x:f>
        <x:v>-6.394573784887403</x:v>
      </x:c>
      <x:c r="N89" s="100" t="n">
        <x:f>IF(OR(L89=0,L89=$C$13),1,IF(MOD(L89,2)=0,2,4))</x:f>
        <x:v>4</x:v>
      </x:c>
      <x:c r="O89" s="100" t="n">
        <x:f>NORM.S.DIST(M89,FALSE)*NORM.S.DIST(($H$10-$H$7*M89)/SQRT(1-$H$7^2),TRUE)</x:f>
        <x:v>5.267866550747973e-10</x:v>
      </x:c>
      <x:c r="P89" s="100" t="n">
        <x:f>N89*O89</x:f>
        <x:v>2.107146620299189e-9</x:v>
      </x:c>
      <x:c r="Q89" s="100" t="n">
        <x:f>$C$14+(($H$9-$C$14)/$C$13)*L89</x:f>
        <x:v>-6.4308862848874035</x:v>
      </x:c>
      <x:c r="R89" s="100" t="n">
        <x:f>NORM.S.DIST(Q89,FALSE)*NORM.S.DIST(($H$11-$H$7*Q89)/SQRT(1-$H$7^2),TRUE)</x:f>
        <x:v>4.1735341373624465e-10</x:v>
      </x:c>
      <x:c r="S89" s="100" t="n">
        <x:f>N89*R89</x:f>
        <x:v>1.6694136549449786e-9</x:v>
      </x:c>
    </x:row>
    <x:row r="90">
      <x:c r="A90" s="99" t="n">
        <x:f>A89+1</x:f>
        <x:v>58</x:v>
      </x:c>
      <x:c r="B90" s="110" t="n">
        <x:f>IF(F89&lt;0,D89,B89)</x:f>
        <x:v>538.316502644353</x:v>
      </x:c>
      <x:c r="C90" s="110" t="n">
        <x:f>IF(F89&lt;0,C89,D89)</x:f>
        <x:v>538.3165026443531</x:v>
      </x:c>
      <x:c r="D90" s="110" t="n">
        <x:f>(B90+C90)/2</x:f>
        <x:v>538.316502644353</x:v>
      </x:c>
      <x:c r="E90" s="110" t="n">
        <x:f>IF(D90&lt;=0,0,D90*EXP(-$C$9*($C$12-$C$11))*NORM.S.DIST((LN(D90/$C$7)+($C$8-$C$9+0.5*$C$10^2)*($C$12-$C$11))/($C$10*SQRT($C$12-$C$11)),TRUE)-$C$7*EXP(-$C$8*($C$12-$C$11))*NORM.S.DIST((LN(D90/$C$7)+($C$8-$C$9+0.5*$C$10^2)*($C$12-$C$11))/($C$10*SQRT($C$12-$C$11))-$C$10*SQRT($C$12-$C$11),TRUE))</x:f>
        <x:v>49.99999999999892</x:v>
      </x:c>
      <x:c r="F90" s="110" t="n">
        <x:f>E90-$C$6</x:f>
        <x:v>-1.0800249583553523e-12</x:v>
      </x:c>
      <x:c r="G90" s="91"/>
      <x:c r="H90" s="91"/>
      <x:c r="I90" s="91"/>
      <x:c r="J90" s="91"/>
      <x:c r="K90" s="91"/>
      <x:c r="L90" s="99" t="n">
        <x:f>84</x:f>
        <x:v>84</x:v>
      </x:c>
      <x:c r="M90" s="100" t="n">
        <x:f>$C$14+(($H$8-$C$14)/$C$13)*L90</x:f>
        <x:v>-6.375231300367974</x:v>
      </x:c>
      <x:c r="N90" s="100" t="n">
        <x:f>IF(OR(L90=0,L90=$C$13),1,IF(MOD(L90,2)=0,2,4))</x:f>
        <x:v>2</x:v>
      </x:c>
      <x:c r="O90" s="100" t="n">
        <x:f>NORM.S.DIST(M90,FALSE)*NORM.S.DIST(($H$10-$H$7*M90)/SQRT(1-$H$7^2),TRUE)</x:f>
        <x:v>5.960326909085224e-10</x:v>
      </x:c>
      <x:c r="P90" s="100" t="n">
        <x:f>N90*O90</x:f>
        <x:v>1.1920653818170448e-9</x:v>
      </x:c>
      <x:c r="Q90" s="100" t="n">
        <x:f>$C$14+(($H$9-$C$14)/$C$13)*L90</x:f>
        <x:v>-6.411981300367974</x:v>
      </x:c>
      <x:c r="R90" s="100" t="n">
        <x:f>NORM.S.DIST(Q90,FALSE)*NORM.S.DIST(($H$11-$H$7*Q90)/SQRT(1-$H$7^2),TRUE)</x:f>
        <x:v>4.712225483446473e-10</x:v>
      </x:c>
      <x:c r="S90" s="100" t="n">
        <x:f>N90*R90</x:f>
        <x:v>9.424450966892947e-10</x:v>
      </x:c>
    </x:row>
    <x:row r="91">
      <x:c r="A91" s="99" t="n">
        <x:f>A90+1</x:f>
        <x:v>59</x:v>
      </x:c>
      <x:c r="B91" s="110" t="n">
        <x:f>IF(F90&lt;0,D90,B90)</x:f>
        <x:v>538.316502644353</x:v>
      </x:c>
      <x:c r="C91" s="110" t="n">
        <x:f>IF(F90&lt;0,C90,D90)</x:f>
        <x:v>538.3165026443531</x:v>
      </x:c>
      <x:c r="D91" s="110" t="n">
        <x:f>(B91+C91)/2</x:f>
        <x:v>538.316502644353</x:v>
      </x:c>
      <x:c r="E91" s="110" t="n">
        <x:f>IF(D91&lt;=0,0,D91*EXP(-$C$9*($C$12-$C$11))*NORM.S.DIST((LN(D91/$C$7)+($C$8-$C$9+0.5*$C$10^2)*($C$12-$C$11))/($C$10*SQRT($C$12-$C$11)),TRUE)-$C$7*EXP(-$C$8*($C$12-$C$11))*NORM.S.DIST((LN(D91/$C$7)+($C$8-$C$9+0.5*$C$10^2)*($C$12-$C$11))/($C$10*SQRT($C$12-$C$11))-$C$10*SQRT($C$12-$C$11),TRUE))</x:f>
        <x:v>49.99999999999892</x:v>
      </x:c>
      <x:c r="F91" s="110" t="n">
        <x:f>E91-$C$6</x:f>
        <x:v>-1.0800249583553523e-12</x:v>
      </x:c>
      <x:c r="G91" s="91"/>
      <x:c r="H91" s="91"/>
      <x:c r="I91" s="91"/>
      <x:c r="J91" s="91"/>
      <x:c r="K91" s="91"/>
      <x:c r="L91" s="99" t="n">
        <x:f>85</x:f>
        <x:v>85</x:v>
      </x:c>
      <x:c r="M91" s="100" t="n">
        <x:f>$C$14+(($H$8-$C$14)/$C$13)*L91</x:f>
        <x:v>-6.355888815848545</x:v>
      </x:c>
      <x:c r="N91" s="100" t="n">
        <x:f>IF(OR(L91=0,L91=$C$13),1,IF(MOD(L91,2)=0,2,4))</x:f>
        <x:v>4</x:v>
      </x:c>
      <x:c r="O91" s="100" t="n">
        <x:f>NORM.S.DIST(M91,FALSE)*NORM.S.DIST(($H$10-$H$7*M91)/SQRT(1-$H$7^2),TRUE)</x:f>
        <x:v>6.741288487902264e-10</x:v>
      </x:c>
      <x:c r="P91" s="100" t="n">
        <x:f>N91*O91</x:f>
        <x:v>2.6965153951609056e-9</x:v>
      </x:c>
      <x:c r="Q91" s="100" t="n">
        <x:f>$C$14+(($H$9-$C$14)/$C$13)*L91</x:f>
        <x:v>-6.393076315848545</x:v>
      </x:c>
      <x:c r="R91" s="100" t="n">
        <x:f>NORM.S.DIST(Q91,FALSE)*NORM.S.DIST(($H$11-$H$7*Q91)/SQRT(1-$H$7^2),TRUE)</x:f>
        <x:v>5.318546257713622e-10</x:v>
      </x:c>
      <x:c r="S91" s="100" t="n">
        <x:f>N91*R91</x:f>
        <x:v>2.1274185030854486e-9</x:v>
      </x:c>
    </x:row>
    <x:row r="92">
      <x:c r="A92" s="99" t="n">
        <x:f>A91+1</x:f>
        <x:v>60</x:v>
      </x:c>
      <x:c r="B92" s="110" t="n">
        <x:f>IF(F91&lt;0,D91,B91)</x:f>
        <x:v>538.316502644353</x:v>
      </x:c>
      <x:c r="C92" s="110" t="n">
        <x:f>IF(F91&lt;0,C91,D91)</x:f>
        <x:v>538.3165026443531</x:v>
      </x:c>
      <x:c r="D92" s="110" t="n">
        <x:f>(B92+C92)/2</x:f>
        <x:v>538.316502644353</x:v>
      </x:c>
      <x:c r="E92" s="110" t="n">
        <x:f>IF(D92&lt;=0,0,D92*EXP(-$C$9*($C$12-$C$11))*NORM.S.DIST((LN(D92/$C$7)+($C$8-$C$9+0.5*$C$10^2)*($C$12-$C$11))/($C$10*SQRT($C$12-$C$11)),TRUE)-$C$7*EXP(-$C$8*($C$12-$C$11))*NORM.S.DIST((LN(D92/$C$7)+($C$8-$C$9+0.5*$C$10^2)*($C$12-$C$11))/($C$10*SQRT($C$12-$C$11))-$C$10*SQRT($C$12-$C$11),TRUE))</x:f>
        <x:v>49.99999999999892</x:v>
      </x:c>
      <x:c r="F92" s="110" t="n">
        <x:f>E92-$C$6</x:f>
        <x:v>-1.0800249583553523e-12</x:v>
      </x:c>
      <x:c r="G92" s="91"/>
      <x:c r="H92" s="91"/>
      <x:c r="I92" s="91"/>
      <x:c r="J92" s="91"/>
      <x:c r="K92" s="91"/>
      <x:c r="L92" s="99" t="n">
        <x:f>86</x:f>
        <x:v>86</x:v>
      </x:c>
      <x:c r="M92" s="100" t="n">
        <x:f>$C$14+(($H$8-$C$14)/$C$13)*L92</x:f>
        <x:v>-6.336546331329116</x:v>
      </x:c>
      <x:c r="N92" s="100" t="n">
        <x:f>IF(OR(L92=0,L92=$C$13),1,IF(MOD(L92,2)=0,2,4))</x:f>
        <x:v>2</x:v>
      </x:c>
      <x:c r="O92" s="100" t="n">
        <x:f>NORM.S.DIST(M92,FALSE)*NORM.S.DIST(($H$10-$H$7*M92)/SQRT(1-$H$7^2),TRUE)</x:f>
        <x:v>7.621724772111732e-10</x:v>
      </x:c>
      <x:c r="P92" s="100" t="n">
        <x:f>N92*O92</x:f>
        <x:v>1.5243449544223465e-9</x:v>
      </x:c>
      <x:c r="Q92" s="100" t="n">
        <x:f>$C$14+(($H$9-$C$14)/$C$13)*L92</x:f>
        <x:v>-6.374171331329117</x:v>
      </x:c>
      <x:c r="R92" s="100" t="n">
        <x:f>NORM.S.DIST(Q92,FALSE)*NORM.S.DIST(($H$11-$H$7*Q92)/SQRT(1-$H$7^2),TRUE)</x:f>
        <x:v>6.000737124063653e-10</x:v>
      </x:c>
      <x:c r="S92" s="100" t="n">
        <x:f>N92*R92</x:f>
        <x:v>1.2001474248127307e-9</x:v>
      </x:c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9" t="n">
        <x:f>87</x:f>
        <x:v>87</x:v>
      </x:c>
      <x:c r="M93" s="100" t="n">
        <x:f>$C$14+(($H$8-$C$14)/$C$13)*L93</x:f>
        <x:v>-6.317203846809687</x:v>
      </x:c>
      <x:c r="N93" s="100" t="n">
        <x:f>IF(OR(L93=0,L93=$C$13),1,IF(MOD(L93,2)=0,2,4))</x:f>
        <x:v>4</x:v>
      </x:c>
      <x:c r="O93" s="100" t="n">
        <x:f>NORM.S.DIST(M93,FALSE)*NORM.S.DIST(($H$10-$H$7*M93)/SQRT(1-$H$7^2),TRUE)</x:f>
        <x:v>8.613925824803555e-10</x:v>
      </x:c>
      <x:c r="P93" s="100" t="n">
        <x:f>N93*O93</x:f>
        <x:v>3.445570329921422e-9</x:v>
      </x:c>
      <x:c r="Q93" s="100" t="n">
        <x:f>$C$14+(($H$9-$C$14)/$C$13)*L93</x:f>
        <x:v>-6.355266346809688</x:v>
      </x:c>
      <x:c r="R93" s="100" t="n">
        <x:f>NORM.S.DIST(Q93,FALSE)*NORM.S.DIST(($H$11-$H$7*Q93)/SQRT(1-$H$7^2),TRUE)</x:f>
        <x:v>6.768010858942073e-10</x:v>
      </x:c>
      <x:c r="S93" s="100" t="n">
        <x:f>N93*R93</x:f>
        <x:v>2.7072043435768293e-9</x:v>
      </x:c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9" t="n">
        <x:f>88</x:f>
        <x:v>88</x:v>
      </x:c>
      <x:c r="M94" s="100" t="n">
        <x:f>$C$14+(($H$8-$C$14)/$C$13)*L94</x:f>
        <x:v>-6.297861362290258</x:v>
      </x:c>
      <x:c r="N94" s="100" t="n">
        <x:f>IF(OR(L94=0,L94=$C$13),1,IF(MOD(L94,2)=0,2,4))</x:f>
        <x:v>2</x:v>
      </x:c>
      <x:c r="O94" s="100" t="n">
        <x:f>NORM.S.DIST(M94,FALSE)*NORM.S.DIST(($H$10-$H$7*M94)/SQRT(1-$H$7^2),TRUE)</x:f>
        <x:v>9.731650651004085e-10</x:v>
      </x:c>
      <x:c r="P94" s="100" t="n">
        <x:f>N94*O94</x:f>
        <x:v>1.946330130200817e-9</x:v>
      </x:c>
      <x:c r="Q94" s="100" t="n">
        <x:f>$C$14+(($H$9-$C$14)/$C$13)*L94</x:f>
        <x:v>-6.336361362290258</x:v>
      </x:c>
      <x:c r="R94" s="100" t="n">
        <x:f>NORM.S.DIST(Q94,FALSE)*NORM.S.DIST(($H$11-$H$7*Q94)/SQRT(1-$H$7^2),TRUE)</x:f>
        <x:v>7.63066303060961e-10</x:v>
      </x:c>
      <x:c r="S94" s="100" t="n">
        <x:f>N94*R94</x:f>
        <x:v>1.526132606121922e-9</x:v>
      </x:c>
    </x:row>
    <x:row r="95">
      <x:c r="A95" s="111" t="str">
        <x:v>Notas de interpretación</x:v>
      </x:c>
      <x:c r="B95" s="111"/>
      <x:c r="C95" s="111"/>
      <x:c r="D95" s="111"/>
      <x:c r="E95" s="111"/>
      <x:c r="F95" s="111"/>
      <x:c r="G95" s="111"/>
      <x:c r="H95" s="111"/>
      <x:c r="I95" s="111"/>
      <x:c r="J95" s="111"/>
      <x:c r="K95" s="91"/>
      <x:c r="L95" s="99" t="n">
        <x:f>89</x:f>
        <x:v>89</x:v>
      </x:c>
      <x:c r="M95" s="100" t="n">
        <x:f>$C$14+(($H$8-$C$14)/$C$13)*L95</x:f>
        <x:v>-6.27851887777083</x:v>
      </x:c>
      <x:c r="N95" s="100" t="n">
        <x:f>IF(OR(L95=0,L95=$C$13),1,IF(MOD(L95,2)=0,2,4))</x:f>
        <x:v>4</x:v>
      </x:c>
      <x:c r="O95" s="100" t="n">
        <x:f>NORM.S.DIST(M95,FALSE)*NORM.S.DIST(($H$10-$H$7*M95)/SQRT(1-$H$7^2),TRUE)</x:f>
        <x:v>1.0990296502822545e-9</x:v>
      </x:c>
      <x:c r="P95" s="100" t="n">
        <x:f>N95*O95</x:f>
        <x:v>4.396118601129018e-9</x:v>
      </x:c>
      <x:c r="Q95" s="100" t="n">
        <x:f>$C$14+(($H$9-$C$14)/$C$13)*L95</x:f>
        <x:v>-6.31745637777083</x:v>
      </x:c>
      <x:c r="R95" s="100" t="n">
        <x:f>NORM.S.DIST(Q95,FALSE)*NORM.S.DIST(($H$11-$H$7*Q95)/SQRT(1-$H$7^2),TRUE)</x:f>
        <x:v>8.600194794631995e-10</x:v>
      </x:c>
      <x:c r="S95" s="100" t="n">
        <x:f>N95*R95</x:f>
        <x:v>3.440077917852798e-9</x:v>
      </x:c>
    </x:row>
    <x:row r="96">
      <x:c r="A96" s="91" t="str">
        <x:v>1</x:v>
      </x:c>
      <x:c r="B96" s="107" t="str">
        <x:v>La opción call-on-call da el derecho, en T1, de comprar por K1 una call europea con strike K2 y vencimiento T2.</x:v>
      </x:c>
      <x:c r="C96" s="91"/>
      <x:c r="D96" s="91"/>
      <x:c r="E96" s="91"/>
      <x:c r="F96" s="91"/>
      <x:c r="G96" s="91"/>
      <x:c r="H96" s="91"/>
      <x:c r="I96" s="91"/>
      <x:c r="J96" s="91"/>
      <x:c r="K96" s="91"/>
      <x:c r="L96" s="99" t="n">
        <x:f>90</x:f>
        <x:v>90</x:v>
      </x:c>
      <x:c r="M96" s="100" t="n">
        <x:f>$C$14+(($H$8-$C$14)/$C$13)*L96</x:f>
        <x:v>-6.259176393251401</x:v>
      </x:c>
      <x:c r="N96" s="100" t="n">
        <x:f>IF(OR(L96=0,L96=$C$13),1,IF(MOD(L96,2)=0,2,4))</x:f>
        <x:v>2</x:v>
      </x:c>
      <x:c r="O96" s="100" t="n">
        <x:f>NORM.S.DIST(M96,FALSE)*NORM.S.DIST(($H$10-$H$7*M96)/SQRT(1-$H$7^2),TRUE)</x:f>
        <x:v>1.240708692686814e-9</x:v>
      </x:c>
      <x:c r="P96" s="100" t="n">
        <x:f>N96*O96</x:f>
        <x:v>2.481417385373628e-9</x:v>
      </x:c>
      <x:c r="Q96" s="100" t="n">
        <x:f>$C$14+(($H$9-$C$14)/$C$13)*L96</x:f>
        <x:v>-6.298551393251401</x:v>
      </x:c>
      <x:c r="R96" s="100" t="n">
        <x:f>NORM.S.DIST(Q96,FALSE)*NORM.S.DIST(($H$11-$H$7*Q96)/SQRT(1-$H$7^2),TRUE)</x:f>
        <x:v>9.689449074808946e-10</x:v>
      </x:c>
      <x:c r="S96" s="100" t="n">
        <x:f>N96*R96</x:f>
        <x:v>1.937889814961789e-9</x:v>
      </x:c>
    </x:row>
    <x:row r="97">
      <x:c r="A97" s="91" t="str">
        <x:v>2</x:v>
      </x:c>
      <x:c r="B97" s="107" t="str">
        <x:v>S* es el precio crítico del subyacente en T1: si S_T1&gt;S*, conviene ejercer la opción compuesta.</x:v>
      </x:c>
      <x:c r="C97" s="91"/>
      <x:c r="D97" s="91"/>
      <x:c r="E97" s="91"/>
      <x:c r="F97" s="91"/>
      <x:c r="G97" s="91"/>
      <x:c r="H97" s="91"/>
      <x:c r="I97" s="91"/>
      <x:c r="J97" s="91"/>
      <x:c r="K97" s="91"/>
      <x:c r="L97" s="99" t="n">
        <x:f>91</x:f>
        <x:v>91</x:v>
      </x:c>
      <x:c r="M97" s="100" t="n">
        <x:f>$C$14+(($H$8-$C$14)/$C$13)*L97</x:f>
        <x:v>-6.239833908731972</x:v>
      </x:c>
      <x:c r="N97" s="100" t="n">
        <x:f>IF(OR(L97=0,L97=$C$13),1,IF(MOD(L97,2)=0,2,4))</x:f>
        <x:v>4</x:v>
      </x:c>
      <x:c r="O97" s="100" t="n">
        <x:f>NORM.S.DIST(M97,FALSE)*NORM.S.DIST(($H$10-$H$7*M97)/SQRT(1-$H$7^2),TRUE)</x:f>
        <x:v>1.4001280536641014e-9</x:v>
      </x:c>
      <x:c r="P97" s="100" t="n">
        <x:f>N97*O97</x:f>
        <x:v>5.6005122146564055e-9</x:v>
      </x:c>
      <x:c r="Q97" s="100" t="n">
        <x:f>$C$14+(($H$9-$C$14)/$C$13)*L97</x:f>
        <x:v>-6.279646408731972</x:v>
      </x:c>
      <x:c r="R97" s="100" t="n">
        <x:f>NORM.S.DIST(Q97,FALSE)*NORM.S.DIST(($H$11-$H$7*Q97)/SQRT(1-$H$7^2),TRUE)</x:f>
        <x:v>1.0912761525188626e-9</x:v>
      </x:c>
      <x:c r="S97" s="100" t="n">
        <x:f>N97*R97</x:f>
        <x:v>4.36510461007545e-9</x:v>
      </x:c>
    </x:row>
    <x:row r="98">
      <x:c r="A98" s="91" t="str">
        <x:v>3</x:v>
      </x:c>
      <x:c r="B98" s="107" t="str">
        <x:v>La normal bivariada M(a,b;ρ) se aproxima dentro del Excel por integración de Simpson, porque Excel no trae una función nativa general para Φ₂.</x:v>
      </x:c>
      <x:c r="C98" s="91"/>
      <x:c r="D98" s="91"/>
      <x:c r="E98" s="91"/>
      <x:c r="F98" s="91"/>
      <x:c r="G98" s="91"/>
      <x:c r="H98" s="91"/>
      <x:c r="I98" s="91"/>
      <x:c r="J98" s="91"/>
      <x:c r="K98" s="91"/>
      <x:c r="L98" s="99" t="n">
        <x:f>92</x:f>
        <x:v>92</x:v>
      </x:c>
      <x:c r="M98" s="100" t="n">
        <x:f>$C$14+(($H$8-$C$14)/$C$13)*L98</x:f>
        <x:v>-6.220491424212543</x:v>
      </x:c>
      <x:c r="N98" s="100" t="n">
        <x:f>IF(OR(L98=0,L98=$C$13),1,IF(MOD(L98,2)=0,2,4))</x:f>
        <x:v>2</x:v>
      </x:c>
      <x:c r="O98" s="100" t="n">
        <x:f>NORM.S.DIST(M98,FALSE)*NORM.S.DIST(($H$10-$H$7*M98)/SQRT(1-$H$7^2),TRUE)</x:f>
        <x:v>1.5794402691701613e-9</x:v>
      </x:c>
      <x:c r="P98" s="100" t="n">
        <x:f>N98*O98</x:f>
        <x:v>3.1588805383403226e-9</x:v>
      </x:c>
      <x:c r="Q98" s="100" t="n">
        <x:f>$C$14+(($H$9-$C$14)/$C$13)*L98</x:f>
        <x:v>-6.260741424212544</x:v>
      </x:c>
      <x:c r="R98" s="100" t="n">
        <x:f>NORM.S.DIST(Q98,FALSE)*NORM.S.DIST(($H$11-$H$7*Q98)/SQRT(1-$H$7^2),TRUE)</x:f>
        <x:v>1.2286127807117247e-9</x:v>
      </x:c>
      <x:c r="S98" s="100" t="n">
        <x:f>N98*R98</x:f>
        <x:v>2.4572255614234495e-9</x:v>
      </x:c>
    </x:row>
    <x:row r="99">
      <x:c r="A99" s="91" t="str">
        <x:v>4</x:v>
      </x:c>
      <x:c r="B99" s="107" t="str">
        <x:v>La comparación incluida verifica que la opción compuesta sea menor que el precio actual del call subyacente, porque solo es un derecho futuro a comprarlo.</x:v>
      </x:c>
      <x:c r="C99" s="91"/>
      <x:c r="D99" s="91"/>
      <x:c r="E99" s="91"/>
      <x:c r="F99" s="91"/>
      <x:c r="G99" s="91"/>
      <x:c r="H99" s="91"/>
      <x:c r="I99" s="91"/>
      <x:c r="J99" s="91"/>
      <x:c r="K99" s="91"/>
      <x:c r="L99" s="99" t="n">
        <x:f>93</x:f>
        <x:v>93</x:v>
      </x:c>
      <x:c r="M99" s="100" t="n">
        <x:f>$C$14+(($H$8-$C$14)/$C$13)*L99</x:f>
        <x:v>-6.201148939693114</x:v>
      </x:c>
      <x:c r="N99" s="100" t="n">
        <x:f>IF(OR(L99=0,L99=$C$13),1,IF(MOD(L99,2)=0,2,4))</x:f>
        <x:v>4</x:v>
      </x:c>
      <x:c r="O99" s="100" t="n">
        <x:f>NORM.S.DIST(M99,FALSE)*NORM.S.DIST(($H$10-$H$7*M99)/SQRT(1-$H$7^2),TRUE)</x:f>
        <x:v>1.7810502483323305e-9</x:v>
      </x:c>
      <x:c r="P99" s="100" t="n">
        <x:f>N99*O99</x:f>
        <x:v>7.124200993329322e-9</x:v>
      </x:c>
      <x:c r="Q99" s="100" t="n">
        <x:f>$C$14+(($H$9-$C$14)/$C$13)*L99</x:f>
        <x:v>-6.241836439693114</x:v>
      </x:c>
      <x:c r="R99" s="100" t="n">
        <x:f>NORM.S.DIST(Q99,FALSE)*NORM.S.DIST(($H$11-$H$7*Q99)/SQRT(1-$H$7^2),TRUE)</x:f>
        <x:v>1.3827388866486037e-9</x:v>
      </x:c>
      <x:c r="S99" s="100" t="n">
        <x:f>N99*R99</x:f>
        <x:v>5.530955546594415e-9</x:v>
      </x:c>
    </x:row>
    <x:row r="100">
      <x:c r="L100" s="64" t="n">
        <x:f>94</x:f>
        <x:v>94</x:v>
      </x:c>
      <x:c r="M100" s="84" t="n">
        <x:f>$C$14+(($H$8-$C$14)/$C$13)*L100</x:f>
        <x:v>-6.181806455173685</x:v>
      </x:c>
      <x:c r="N100" s="84" t="n">
        <x:f>IF(OR(L100=0,L100=$C$13),1,IF(MOD(L100,2)=0,2,4))</x:f>
        <x:v>2</x:v>
      </x:c>
      <x:c r="O100" s="84" t="n">
        <x:f>NORM.S.DIST(M100,FALSE)*NORM.S.DIST(($H$10-$H$7*M100)/SQRT(1-$H$7^2),TRUE)</x:f>
        <x:v>2.0076437664689694e-9</x:v>
      </x:c>
      <x:c r="P100" s="84" t="n">
        <x:f>N100*O100</x:f>
        <x:v>4.015287532937939e-9</x:v>
      </x:c>
      <x:c r="Q100" s="84" t="n">
        <x:f>$C$14+(($H$9-$C$14)/$C$13)*L100</x:f>
        <x:v>-6.222931455173685</x:v>
      </x:c>
      <x:c r="R100" s="84" t="n">
        <x:f>NORM.S.DIST(Q100,FALSE)*NORM.S.DIST(($H$11-$H$7*Q100)/SQRT(1-$H$7^2),TRUE)</x:f>
        <x:v>1.5556436061582558e-9</x:v>
      </x:c>
      <x:c r="S100" s="84" t="n">
        <x:f>N100*R100</x:f>
        <x:v>3.1112872123165115e-9</x:v>
      </x:c>
    </x:row>
    <x:row r="101">
      <x:c r="L101" s="64" t="n">
        <x:f>95</x:f>
        <x:v>95</x:v>
      </x:c>
      <x:c r="M101" s="84" t="n">
        <x:f>$C$14+(($H$8-$C$14)/$C$13)*L101</x:f>
        <x:v>-6.162463970654256</x:v>
      </x:c>
      <x:c r="N101" s="84" t="n">
        <x:f>IF(OR(L101=0,L101=$C$13),1,IF(MOD(L101,2)=0,2,4))</x:f>
        <x:v>4</x:v>
      </x:c>
      <x:c r="O101" s="84" t="n">
        <x:f>NORM.S.DIST(M101,FALSE)*NORM.S.DIST(($H$10-$H$7*M101)/SQRT(1-$H$7^2),TRUE)</x:f>
        <x:v>2.2622190424279173e-9</x:v>
      </x:c>
      <x:c r="P101" s="84" t="n">
        <x:f>N101*O101</x:f>
        <x:v>9.04887616971167e-9</x:v>
      </x:c>
      <x:c r="Q101" s="84" t="n">
        <x:f>$C$14+(($H$9-$C$14)/$C$13)*L101</x:f>
        <x:v>-6.204026470654257</x:v>
      </x:c>
      <x:c r="R101" s="84" t="n">
        <x:f>NORM.S.DIST(Q101,FALSE)*NORM.S.DIST(($H$11-$H$7*Q101)/SQRT(1-$H$7^2),TRUE)</x:f>
        <x:v>1.7495438172444333e-9</x:v>
      </x:c>
      <x:c r="S101" s="84" t="n">
        <x:f>N101*R101</x:f>
        <x:v>6.998175268977733e-9</x:v>
      </x:c>
    </x:row>
    <x:row r="102">
      <x:c r="L102" s="64" t="n">
        <x:f>96</x:f>
        <x:v>96</x:v>
      </x:c>
      <x:c r="M102" s="84" t="n">
        <x:f>$C$14+(($H$8-$C$14)/$C$13)*L102</x:f>
        <x:v>-6.143121486134827</x:v>
      </x:c>
      <x:c r="N102" s="84" t="n">
        <x:f>IF(OR(L102=0,L102=$C$13),1,IF(MOD(L102,2)=0,2,4))</x:f>
        <x:v>2</x:v>
      </x:c>
      <x:c r="O102" s="84" t="n">
        <x:f>NORM.S.DIST(M102,FALSE)*NORM.S.DIST(($H$10-$H$7*M102)/SQRT(1-$H$7^2),TRUE)</x:f>
        <x:v>2.548121718581397e-9</x:v>
      </x:c>
      <x:c r="P102" s="84" t="n">
        <x:f>N102*O102</x:f>
        <x:v>5.096243437162794e-9</x:v>
      </x:c>
      <x:c r="Q102" s="84" t="n">
        <x:f>$C$14+(($H$9-$C$14)/$C$13)*L102</x:f>
        <x:v>-6.185121486134827</x:v>
      </x:c>
      <x:c r="R102" s="84" t="n">
        <x:f>NORM.S.DIST(Q102,FALSE)*NORM.S.DIST(($H$11-$H$7*Q102)/SQRT(1-$H$7^2),TRUE)</x:f>
        <x:v>1.9669092519642495e-9</x:v>
      </x:c>
      <x:c r="S102" s="84" t="n">
        <x:f>N102*R102</x:f>
        <x:v>3.933818503928499e-9</x:v>
      </x:c>
    </x:row>
    <x:row r="103">
      <x:c r="L103" s="64" t="n">
        <x:f>97</x:f>
        <x:v>97</x:v>
      </x:c>
      <x:c r="M103" s="84" t="n">
        <x:f>$C$14+(($H$8-$C$14)/$C$13)*L103</x:f>
        <x:v>-6.123779001615398</x:v>
      </x:c>
      <x:c r="N103" s="84" t="n">
        <x:f>IF(OR(L103=0,L103=$C$13),1,IF(MOD(L103,2)=0,2,4))</x:f>
        <x:v>4</x:v>
      </x:c>
      <x:c r="O103" s="84" t="n">
        <x:f>NORM.S.DIST(M103,FALSE)*NORM.S.DIST(($H$10-$H$7*M103)/SQRT(1-$H$7^2),TRUE)</x:f>
        <x:v>2.8690835929099588e-9</x:v>
      </x:c>
      <x:c r="P103" s="84" t="n">
        <x:f>N103*O103</x:f>
        <x:v>1.1476334371639835e-8</x:v>
      </x:c>
      <x:c r="Q103" s="84" t="n">
        <x:f>$C$14+(($H$9-$C$14)/$C$13)*L103</x:f>
        <x:v>-6.1662165016153985</x:v>
      </x:c>
      <x:c r="R103" s="84" t="n">
        <x:f>NORM.S.DIST(Q103,FALSE)*NORM.S.DIST(($H$11-$H$7*Q103)/SQRT(1-$H$7^2),TRUE)</x:f>
        <x:v>2.2104902635416253e-9</x:v>
      </x:c>
      <x:c r="S103" s="84" t="n">
        <x:f>N103*R103</x:f>
        <x:v>8.841961054166501e-9</x:v>
      </x:c>
    </x:row>
    <x:row r="104">
      <x:c r="L104" s="64" t="n">
        <x:f>98</x:f>
        <x:v>98</x:v>
      </x:c>
      <x:c r="M104" s="84" t="n">
        <x:f>$C$14+(($H$8-$C$14)/$C$13)*L104</x:f>
        <x:v>-6.10443651709597</x:v>
      </x:c>
      <x:c r="N104" s="84" t="n">
        <x:f>IF(OR(L104=0,L104=$C$13),1,IF(MOD(L104,2)=0,2,4))</x:f>
        <x:v>2</x:v>
      </x:c>
      <x:c r="O104" s="84" t="n">
        <x:f>NORM.S.DIST(M104,FALSE)*NORM.S.DIST(($H$10-$H$7*M104)/SQRT(1-$H$7^2),TRUE)</x:f>
        <x:v>3.229265486547334e-9</x:v>
      </x:c>
      <x:c r="P104" s="84" t="n">
        <x:f>N104*O104</x:f>
        <x:v>6.458530973094668e-9</x:v>
      </x:c>
      <x:c r="Q104" s="84" t="n">
        <x:f>$C$14+(($H$9-$C$14)/$C$13)*L104</x:f>
        <x:v>-6.14731151709597</x:v>
      </x:c>
      <x:c r="R104" s="84" t="n">
        <x:f>NORM.S.DIST(Q104,FALSE)*NORM.S.DIST(($H$11-$H$7*Q104)/SQRT(1-$H$7^2),TRUE)</x:f>
        <x:v>2.483348516453076e-9</x:v>
      </x:c>
      <x:c r="S104" s="84" t="n">
        <x:f>N104*R104</x:f>
        <x:v>4.966697032906152e-9</x:v>
      </x:c>
    </x:row>
    <x:row r="105">
      <x:c r="L105" s="64" t="n">
        <x:f>99</x:f>
        <x:v>99</x:v>
      </x:c>
      <x:c r="M105" s="84" t="n">
        <x:f>$C$14+(($H$8-$C$14)/$C$13)*L105</x:f>
        <x:v>-6.085094032576541</x:v>
      </x:c>
      <x:c r="N105" s="84" t="n">
        <x:f>IF(OR(L105=0,L105=$C$13),1,IF(MOD(L105,2)=0,2,4))</x:f>
        <x:v>4</x:v>
      </x:c>
      <x:c r="O105" s="84" t="n">
        <x:f>NORM.S.DIST(M105,FALSE)*NORM.S.DIST(($H$10-$H$7*M105)/SQRT(1-$H$7^2),TRUE)</x:f>
        <x:v>3.6333046671823385e-9</x:v>
      </x:c>
      <x:c r="P105" s="84" t="n">
        <x:f>N105*O105</x:f>
        <x:v>1.4533218668729354e-8</x:v>
      </x:c>
      <x:c r="Q105" s="84" t="n">
        <x:f>$C$14+(($H$9-$C$14)/$C$13)*L105</x:f>
        <x:v>-6.128406532576541</x:v>
      </x:c>
      <x:c r="R105" s="84" t="n">
        <x:f>NORM.S.DIST(Q105,FALSE)*NORM.S.DIST(($H$11-$H$7*Q105)/SQRT(1-$H$7^2),TRUE)</x:f>
        <x:v>2.7888908927783697e-9</x:v>
      </x:c>
      <x:c r="S105" s="84" t="n">
        <x:f>N105*R105</x:f>
        <x:v>1.1155563571113479e-8</x:v>
      </x:c>
    </x:row>
    <x:row r="106">
      <x:c r="L106" s="64" t="n">
        <x:f>100</x:f>
        <x:v>100</x:v>
      </x:c>
      <x:c r="M106" s="84" t="n">
        <x:f>$C$14+(($H$8-$C$14)/$C$13)*L106</x:f>
        <x:v>-6.065751548057112</x:v>
      </x:c>
      <x:c r="N106" s="84" t="n">
        <x:f>IF(OR(L106=0,L106=$C$13),1,IF(MOD(L106,2)=0,2,4))</x:f>
        <x:v>2</x:v>
      </x:c>
      <x:c r="O106" s="84" t="n">
        <x:f>NORM.S.DIST(M106,FALSE)*NORM.S.DIST(($H$10-$H$7*M106)/SQRT(1-$H$7^2),TRUE)</x:f>
        <x:v>4.08636728907973e-9</x:v>
      </x:c>
      <x:c r="P106" s="84" t="n">
        <x:f>N106*O106</x:f>
        <x:v>8.17273457815946e-9</x:v>
      </x:c>
      <x:c r="Q106" s="84" t="n">
        <x:f>$C$14+(($H$9-$C$14)/$C$13)*L106</x:f>
        <x:v>-6.109501548057112</x:v>
      </x:c>
      <x:c r="R106" s="84" t="n">
        <x:f>NORM.S.DIST(Q106,FALSE)*NORM.S.DIST(($H$11-$H$7*Q106)/SQRT(1-$H$7^2),TRUE)</x:f>
        <x:v>3.1309069359489974e-9</x:v>
      </x:c>
      <x:c r="S106" s="84" t="n">
        <x:f>N106*R106</x:f>
        <x:v>6.261813871897995e-9</x:v>
      </x:c>
    </x:row>
    <x:row r="107">
      <x:c r="L107" s="64" t="n">
        <x:f>101</x:f>
        <x:v>101</x:v>
      </x:c>
      <x:c r="M107" s="84" t="n">
        <x:f>$C$14+(($H$8-$C$14)/$C$13)*L107</x:f>
        <x:v>-6.046409063537683</x:v>
      </x:c>
      <x:c r="N107" s="84" t="n">
        <x:f>IF(OR(L107=0,L107=$C$13),1,IF(MOD(L107,2)=0,2,4))</x:f>
        <x:v>4</x:v>
      </x:c>
      <x:c r="O107" s="84" t="n">
        <x:f>NORM.S.DIST(M107,FALSE)*NORM.S.DIST(($H$10-$H$7*M107)/SQRT(1-$H$7^2),TRUE)</x:f>
        <x:v>4.594206354468424e-9</x:v>
      </x:c>
      <x:c r="P107" s="84" t="n">
        <x:f>N107*O107</x:f>
        <x:v>1.8376825417873696e-8</x:v>
      </x:c>
      <x:c r="Q107" s="84" t="n">
        <x:f>$C$14+(($H$9-$C$14)/$C$13)*L107</x:f>
        <x:v>-6.090596563537684</x:v>
      </x:c>
      <x:c r="R107" s="84" t="n">
        <x:f>NORM.S.DIST(Q107,FALSE)*NORM.S.DIST(($H$11-$H$7*Q107)/SQRT(1-$H$7^2),TRUE)</x:f>
        <x:v>3.5136101833408305e-9</x:v>
      </x:c>
      <x:c r="S107" s="84" t="n">
        <x:f>N107*R107</x:f>
        <x:v>1.4054440733363322e-8</x:v>
      </x:c>
    </x:row>
    <x:row r="108">
      <x:c r="L108" s="64" t="n">
        <x:f>102</x:f>
        <x:v>102</x:v>
      </x:c>
      <x:c r="M108" s="84" t="n">
        <x:f>$C$14+(($H$8-$C$14)/$C$13)*L108</x:f>
        <x:v>-6.027066579018254</x:v>
      </x:c>
      <x:c r="N108" s="84" t="n">
        <x:f>IF(OR(L108=0,L108=$C$13),1,IF(MOD(L108,2)=0,2,4))</x:f>
        <x:v>2</x:v>
      </x:c>
      <x:c r="O108" s="84" t="n">
        <x:f>NORM.S.DIST(M108,FALSE)*NORM.S.DIST(($H$10-$H$7*M108)/SQRT(1-$H$7^2),TRUE)</x:f>
        <x:v>5.1632257489491056e-9</x:v>
      </x:c>
      <x:c r="P108" s="84" t="n">
        <x:f>N108*O108</x:f>
        <x:v>1.0326451497898211e-8</x:v>
      </x:c>
      <x:c r="Q108" s="84" t="n">
        <x:f>$C$14+(($H$9-$C$14)/$C$13)*L108</x:f>
        <x:v>-6.071691579018254</x:v>
      </x:c>
      <x:c r="R108" s="84" t="n">
        <x:f>NORM.S.DIST(Q108,FALSE)*NORM.S.DIST(($H$11-$H$7*Q108)/SQRT(1-$H$7^2),TRUE)</x:f>
        <x:v>3.9416837721471115e-9</x:v>
      </x:c>
      <x:c r="S108" s="84" t="n">
        <x:f>N108*R108</x:f>
        <x:v>7.883367544294223e-9</x:v>
      </x:c>
    </x:row>
    <x:row r="109">
      <x:c r="L109" s="64" t="n">
        <x:f>103</x:f>
        <x:v>103</x:v>
      </x:c>
      <x:c r="M109" s="84" t="n">
        <x:f>$C$14+(($H$8-$C$14)/$C$13)*L109</x:f>
        <x:v>-6.007724094498825</x:v>
      </x:c>
      <x:c r="N109" s="84" t="n">
        <x:f>IF(OR(L109=0,L109=$C$13),1,IF(MOD(L109,2)=0,2,4))</x:f>
        <x:v>4</x:v>
      </x:c>
      <x:c r="O109" s="84" t="n">
        <x:f>NORM.S.DIST(M109,FALSE)*NORM.S.DIST(($H$10-$H$7*M109)/SQRT(1-$H$7^2),TRUE)</x:f>
        <x:v>5.800550955713966e-9</x:v>
      </x:c>
      <x:c r="P109" s="84" t="n">
        <x:f>N109*O109</x:f>
        <x:v>2.3202203822855864e-8</x:v>
      </x:c>
      <x:c r="Q109" s="84" t="n">
        <x:f>$C$14+(($H$9-$C$14)/$C$13)*L109</x:f>
        <x:v>-6.0527865944988255</x:v>
      </x:c>
      <x:c r="R109" s="84" t="n">
        <x:f>NORM.S.DIST(Q109,FALSE)*NORM.S.DIST(($H$11-$H$7*Q109)/SQRT(1-$H$7^2),TRUE)</x:f>
        <x:v>4.4203307388499184e-9</x:v>
      </x:c>
      <x:c r="S109" s="84" t="n">
        <x:f>N109*R109</x:f>
        <x:v>1.7681322955399674e-8</x:v>
      </x:c>
    </x:row>
    <x:row r="110">
      <x:c r="L110" s="64" t="n">
        <x:f>104</x:f>
        <x:v>104</x:v>
      </x:c>
      <x:c r="M110" s="84" t="n">
        <x:f>$C$14+(($H$8-$C$14)/$C$13)*L110</x:f>
        <x:v>-5.988381609979397</x:v>
      </x:c>
      <x:c r="N110" s="84" t="n">
        <x:f>IF(OR(L110=0,L110=$C$13),1,IF(MOD(L110,2)=0,2,4))</x:f>
        <x:v>2</x:v>
      </x:c>
      <x:c r="O110" s="84" t="n">
        <x:f>NORM.S.DIST(M110,FALSE)*NORM.S.DIST(($H$10-$H$7*M110)/SQRT(1-$H$7^2),TRUE)</x:f>
        <x:v>6.5141071100937805e-9</x:v>
      </x:c>
      <x:c r="P110" s="84" t="n">
        <x:f>N110*O110</x:f>
        <x:v>1.3028214220187561e-8</x:v>
      </x:c>
      <x:c r="Q110" s="84" t="n">
        <x:f>$C$14+(($H$9-$C$14)/$C$13)*L110</x:f>
        <x:v>-6.033881609979397</x:v>
      </x:c>
      <x:c r="R110" s="84" t="n">
        <x:f>NORM.S.DIST(Q110,FALSE)*NORM.S.DIST(($H$11-$H$7*Q110)/SQRT(1-$H$7^2),TRUE)</x:f>
        <x:v>4.955329471617505e-9</x:v>
      </x:c>
      <x:c r="S110" s="84" t="n">
        <x:f>N110*R110</x:f>
        <x:v>9.91065894323501e-9</x:v>
      </x:c>
    </x:row>
    <x:row r="111">
      <x:c r="L111" s="64" t="n">
        <x:f>105</x:f>
        <x:v>105</x:v>
      </x:c>
      <x:c r="M111" s="84" t="n">
        <x:f>$C$14+(($H$8-$C$14)/$C$13)*L111</x:f>
        <x:v>-5.969039125459968</x:v>
      </x:c>
      <x:c r="N111" s="84" t="n">
        <x:f>IF(OR(L111=0,L111=$C$13),1,IF(MOD(L111,2)=0,2,4))</x:f>
        <x:v>4</x:v>
      </x:c>
      <x:c r="O111" s="84" t="n">
        <x:f>NORM.S.DIST(M111,FALSE)*NORM.S.DIST(($H$10-$H$7*M111)/SQRT(1-$H$7^2),TRUE)</x:f>
        <x:v>7.312705117615902e-9</x:v>
      </x:c>
      <x:c r="P111" s="84" t="n">
        <x:f>N111*O111</x:f>
        <x:v>2.925082047046361e-8</x:v>
      </x:c>
      <x:c r="Q111" s="84" t="n">
        <x:f>$C$14+(($H$9-$C$14)/$C$13)*L111</x:f>
        <x:v>-6.014976625459967</x:v>
      </x:c>
      <x:c r="R111" s="84" t="n">
        <x:f>NORM.S.DIST(Q111,FALSE)*NORM.S.DIST(($H$11-$H$7*Q111)/SQRT(1-$H$7^2),TRUE)</x:f>
        <x:v>5.553094817338017e-9</x:v>
      </x:c>
      <x:c r="S111" s="84" t="n">
        <x:f>N111*R111</x:f>
        <x:v>2.221237926935207e-8</x:v>
      </x:c>
    </x:row>
    <x:row r="112">
      <x:c r="L112" s="64" t="n">
        <x:f>106</x:f>
        <x:v>106</x:v>
      </x:c>
      <x:c r="M112" s="84" t="n">
        <x:f>$C$14+(($H$8-$C$14)/$C$13)*L112</x:f>
        <x:v>-5.949696640940539</x:v>
      </x:c>
      <x:c r="N112" s="84" t="n">
        <x:f>IF(OR(L112=0,L112=$C$13),1,IF(MOD(L112,2)=0,2,4))</x:f>
        <x:v>2</x:v>
      </x:c>
      <x:c r="O112" s="84" t="n">
        <x:f>NORM.S.DIST(M112,FALSE)*NORM.S.DIST(($H$10-$H$7*M112)/SQRT(1-$H$7^2),TRUE)</x:f>
        <x:v>8.20613662576782e-9</x:v>
      </x:c>
      <x:c r="P112" s="84" t="n">
        <x:f>N112*O112</x:f>
        <x:v>1.641227325153564e-8</x:v>
      </x:c>
      <x:c r="Q112" s="84" t="n">
        <x:f>$C$14+(($H$9-$C$14)/$C$13)*L112</x:f>
        <x:v>-5.996071640940539</x:v>
      </x:c>
      <x:c r="R112" s="84" t="n">
        <x:f>NORM.S.DIST(Q112,FALSE)*NORM.S.DIST(($H$11-$H$7*Q112)/SQRT(1-$H$7^2),TRUE)</x:f>
        <x:v>6.220745391027747e-9</x:v>
      </x:c>
      <x:c r="S112" s="84" t="n">
        <x:f>N112*R112</x:f>
        <x:v>1.2441490782055494e-8</x:v>
      </x:c>
    </x:row>
    <x:row r="113">
      <x:c r="L113" s="64" t="n">
        <x:f>107</x:f>
        <x:v>107</x:v>
      </x:c>
      <x:c r="M113" s="84" t="n">
        <x:f>$C$14+(($H$8-$C$14)/$C$13)*L113</x:f>
        <x:v>-5.93035415642111</x:v>
      </x:c>
      <x:c r="N113" s="84" t="n">
        <x:f>IF(OR(L113=0,L113=$C$13),1,IF(MOD(L113,2)=0,2,4))</x:f>
        <x:v>4</x:v>
      </x:c>
      <x:c r="O113" s="84" t="n">
        <x:f>NORM.S.DIST(M113,FALSE)*NORM.S.DIST(($H$10-$H$7*M113)/SQRT(1-$H$7^2),TRUE)</x:f>
        <x:v>9.205278712434553e-9</x:v>
      </x:c>
      <x:c r="P113" s="84" t="n">
        <x:f>N113*O113</x:f>
        <x:v>3.682111484973821e-8</x:v>
      </x:c>
      <x:c r="Q113" s="84" t="n">
        <x:f>$C$14+(($H$9-$C$14)/$C$13)*L113</x:f>
        <x:v>-5.97716665642111</x:v>
      </x:c>
      <x:c r="R113" s="84" t="n">
        <x:f>NORM.S.DIST(Q113,FALSE)*NORM.S.DIST(($H$11-$H$7*Q113)/SQRT(1-$H$7^2),TRUE)</x:f>
        <x:v>6.966177685309027e-9</x:v>
      </x:c>
      <x:c r="S113" s="84" t="n">
        <x:f>N113*R113</x:f>
        <x:v>2.786471074123611e-8</x:v>
      </x:c>
    </x:row>
    <x:row r="114">
      <x:c r="L114" s="64" t="n">
        <x:f>108</x:f>
        <x:v>108</x:v>
      </x:c>
      <x:c r="M114" s="84" t="n">
        <x:f>$C$14+(($H$8-$C$14)/$C$13)*L114</x:f>
        <x:v>-5.911011671901681</x:v>
      </x:c>
      <x:c r="N114" s="84" t="n">
        <x:f>IF(OR(L114=0,L114=$C$13),1,IF(MOD(L114,2)=0,2,4))</x:f>
        <x:v>2</x:v>
      </x:c>
      <x:c r="O114" s="84" t="n">
        <x:f>NORM.S.DIST(M114,FALSE)*NORM.S.DIST(($H$10-$H$7*M114)/SQRT(1-$H$7^2),TRUE)</x:f>
        <x:v>1.032220923296352e-8</x:v>
      </x:c>
      <x:c r="P114" s="84" t="n">
        <x:f>N114*O114</x:f>
        <x:v>2.064441846592704e-8</x:v>
      </x:c>
      <x:c r="Q114" s="84" t="n">
        <x:f>$C$14+(($H$9-$C$14)/$C$13)*L114</x:f>
        <x:v>-5.958261671901681</x:v>
      </x:c>
      <x:c r="R114" s="84" t="n">
        <x:f>NORM.S.DIST(Q114,FALSE)*NORM.S.DIST(($H$11-$H$7*Q114)/SQRT(1-$H$7^2),TRUE)</x:f>
        <x:v>7.798147631843263e-9</x:v>
      </x:c>
      <x:c r="S114" s="84" t="n">
        <x:f>N114*R114</x:f>
        <x:v>1.5596295263686526e-8</x:v>
      </x:c>
    </x:row>
    <x:row r="115">
      <x:c r="L115" s="64" t="n">
        <x:f>109</x:f>
        <x:v>109</x:v>
      </x:c>
      <x:c r="M115" s="84" t="n">
        <x:f>$C$14+(($H$8-$C$14)/$C$13)*L115</x:f>
        <x:v>-5.891669187382252</x:v>
      </x:c>
      <x:c r="N115" s="84" t="n">
        <x:f>IF(OR(L115=0,L115=$C$13),1,IF(MOD(L115,2)=0,2,4))</x:f>
        <x:v>4</x:v>
      </x:c>
      <x:c r="O115" s="84" t="n">
        <x:f>NORM.S.DIST(M115,FALSE)*NORM.S.DIST(($H$10-$H$7*M115)/SQRT(1-$H$7^2),TRUE)</x:f>
        <x:v>1.1570333853489501e-8</x:v>
      </x:c>
      <x:c r="P115" s="84" t="n">
        <x:f>N115*O115</x:f>
        <x:v>4.6281335413958005e-8</x:v>
      </x:c>
      <x:c r="Q115" s="84" t="n">
        <x:f>$C$14+(($H$9-$C$14)/$C$13)*L115</x:f>
        <x:v>-5.9393566873822525</x:v>
      </x:c>
      <x:c r="R115" s="84" t="n">
        <x:f>NORM.S.DIST(Q115,FALSE)*NORM.S.DIST(($H$11-$H$7*Q115)/SQRT(1-$H$7^2),TRUE)</x:f>
        <x:v>8.726360325360255e-9</x:v>
      </x:c>
      <x:c r="S115" s="84" t="n">
        <x:f>N115*R115</x:f>
        <x:v>3.490544130144102e-8</x:v>
      </x:c>
    </x:row>
    <x:row r="116">
      <x:c r="L116" s="64" t="n">
        <x:f>110</x:f>
        <x:v>110</x:v>
      </x:c>
      <x:c r="M116" s="84" t="n">
        <x:f>$C$14+(($H$8-$C$14)/$C$13)*L116</x:f>
        <x:v>-5.872326702862823</x:v>
      </x:c>
      <x:c r="N116" s="84" t="n">
        <x:f>IF(OR(L116=0,L116=$C$13),1,IF(MOD(L116,2)=0,2,4))</x:f>
        <x:v>2</x:v>
      </x:c>
      <x:c r="O116" s="84" t="n">
        <x:f>NORM.S.DIST(M116,FALSE)*NORM.S.DIST(($H$10-$H$7*M116)/SQRT(1-$H$7^2),TRUE)</x:f>
        <x:v>1.2964525891039588e-8</x:v>
      </x:c>
      <x:c r="P116" s="84" t="n">
        <x:f>N116*O116</x:f>
        <x:v>2.5929051782079175e-8</x:v>
      </x:c>
      <x:c r="Q116" s="84" t="n">
        <x:f>$C$14+(($H$9-$C$14)/$C$13)*L116</x:f>
        <x:v>-5.920451702862824</x:v>
      </x:c>
      <x:c r="R116" s="84" t="n">
        <x:f>NORM.S.DIST(Q116,FALSE)*NORM.S.DIST(($H$11-$H$7*Q116)/SQRT(1-$H$7^2),TRUE)</x:f>
        <x:v>9.761568684589675e-9</x:v>
      </x:c>
      <x:c r="S116" s="84" t="n">
        <x:f>N116*R116</x:f>
        <x:v>1.952313736917935e-8</x:v>
      </x:c>
    </x:row>
    <x:row r="117">
      <x:c r="L117" s="64" t="n">
        <x:f>111</x:f>
        <x:v>111</x:v>
      </x:c>
      <x:c r="M117" s="84" t="n">
        <x:f>$C$14+(($H$8-$C$14)/$C$13)*L117</x:f>
        <x:v>-5.852984218343394</x:v>
      </x:c>
      <x:c r="N117" s="84" t="n">
        <x:f>IF(OR(L117=0,L117=$C$13),1,IF(MOD(L117,2)=0,2,4))</x:f>
        <x:v>4</x:v>
      </x:c>
      <x:c r="O117" s="84" t="n">
        <x:f>NORM.S.DIST(M117,FALSE)*NORM.S.DIST(($H$10-$H$7*M117)/SQRT(1-$H$7^2),TRUE)</x:f>
        <x:v>1.4521280181577551e-8</x:v>
      </x:c>
      <x:c r="P117" s="84" t="n">
        <x:f>N117*O117</x:f>
        <x:v>5.8085120726310204e-8</x:v>
      </x:c>
      <x:c r="Q117" s="84" t="n">
        <x:f>$C$14+(($H$9-$C$14)/$C$13)*L117</x:f>
        <x:v>-5.901546718343395</x:v>
      </x:c>
      <x:c r="R117" s="84" t="n">
        <x:f>NORM.S.DIST(Q117,FALSE)*NORM.S.DIST(($H$11-$H$7*Q117)/SQRT(1-$H$7^2),TRUE)</x:f>
        <x:v>1.0915681893351362e-8</x:v>
      </x:c>
      <x:c r="S117" s="84" t="n">
        <x:f>N117*R117</x:f>
        <x:v>4.3662727573405446e-8</x:v>
      </x:c>
    </x:row>
    <x:row r="118">
      <x:c r="L118" s="64" t="n">
        <x:f>112</x:f>
        <x:v>112</x:v>
      </x:c>
      <x:c r="M118" s="84" t="n">
        <x:f>$C$14+(($H$8-$C$14)/$C$13)*L118</x:f>
        <x:v>-5.833641733823965</x:v>
      </x:c>
      <x:c r="N118" s="84" t="n">
        <x:f>IF(OR(L118=0,L118=$C$13),1,IF(MOD(L118,2)=0,2,4))</x:f>
        <x:v>2</x:v>
      </x:c>
      <x:c r="O118" s="84" t="n">
        <x:f>NORM.S.DIST(M118,FALSE)*NORM.S.DIST(($H$10-$H$7*M118)/SQRT(1-$H$7^2),TRUE)</x:f>
        <x:v>1.6258882306125528e-8</x:v>
      </x:c>
      <x:c r="P118" s="84" t="n">
        <x:f>N118*O118</x:f>
        <x:v>3.2517764612251056e-8</x:v>
      </x:c>
      <x:c r="Q118" s="84" t="n">
        <x:f>$C$14+(($H$9-$C$14)/$C$13)*L118</x:f>
        <x:v>-5.882641733823966</x:v>
      </x:c>
      <x:c r="R118" s="84" t="n">
        <x:f>NORM.S.DIST(Q118,FALSE)*NORM.S.DIST(($H$11-$H$7*Q118)/SQRT(1-$H$7^2),TRUE)</x:f>
        <x:v>1.2201884539692967e-8</x:v>
      </x:c>
      <x:c r="S118" s="84" t="n">
        <x:f>N118*R118</x:f>
        <x:v>2.4403769079385933e-8</x:v>
      </x:c>
    </x:row>
    <x:row r="119">
      <x:c r="L119" s="64" t="n">
        <x:f>113</x:f>
        <x:v>113</x:v>
      </x:c>
      <x:c r="M119" s="84" t="n">
        <x:f>$C$14+(($H$8-$C$14)/$C$13)*L119</x:f>
        <x:v>-5.814299249304536</x:v>
      </x:c>
      <x:c r="N119" s="84" t="n">
        <x:f>IF(OR(L119=0,L119=$C$13),1,IF(MOD(L119,2)=0,2,4))</x:f>
        <x:v>4</x:v>
      </x:c>
      <x:c r="O119" s="84" t="n">
        <x:f>NORM.S.DIST(M119,FALSE)*NORM.S.DIST(($H$10-$H$7*M119)/SQRT(1-$H$7^2),TRUE)</x:f>
        <x:v>1.819759462303845e-8</x:v>
      </x:c>
      <x:c r="P119" s="84" t="n">
        <x:f>N119*O119</x:f>
        <x:v>7.27903784921538e-8</x:v>
      </x:c>
      <x:c r="Q119" s="84" t="n">
        <x:f>$C$14+(($H$9-$C$14)/$C$13)*L119</x:f>
        <x:v>-5.863736749304537</x:v>
      </x:c>
      <x:c r="R119" s="84" t="n">
        <x:f>NORM.S.DIST(Q119,FALSE)*NORM.S.DIST(($H$11-$H$7*Q119)/SQRT(1-$H$7^2),TRUE)</x:f>
        <x:v>1.3634767451699087e-8</x:v>
      </x:c>
      <x:c r="S119" s="84" t="n">
        <x:f>N119*R119</x:f>
        <x:v>5.453906980679635e-8</x:v>
      </x:c>
    </x:row>
    <x:row r="120">
      <x:c r="L120" s="64" t="n">
        <x:f>114</x:f>
        <x:v>114</x:v>
      </x:c>
      <x:c r="M120" s="84" t="n">
        <x:f>$C$14+(($H$8-$C$14)/$C$13)*L120</x:f>
        <x:v>-5.794956764785107</x:v>
      </x:c>
      <x:c r="N120" s="84" t="n">
        <x:f>IF(OR(L120=0,L120=$C$13),1,IF(MOD(L120,2)=0,2,4))</x:f>
        <x:v>2</x:v>
      </x:c>
      <x:c r="O120" s="84" t="n">
        <x:f>NORM.S.DIST(M120,FALSE)*NORM.S.DIST(($H$10-$H$7*M120)/SQRT(1-$H$7^2),TRUE)</x:f>
        <x:v>2.035986068206222e-8</x:v>
      </x:c>
      <x:c r="P120" s="84" t="n">
        <x:f>N120*O120</x:f>
        <x:v>4.071972136412444e-8</x:v>
      </x:c>
      <x:c r="Q120" s="84" t="n">
        <x:f>$C$14+(($H$9-$C$14)/$C$13)*L120</x:f>
        <x:v>-5.844831764785107</x:v>
      </x:c>
      <x:c r="R120" s="84" t="n">
        <x:f>NORM.S.DIST(Q120,FALSE)*NORM.S.DIST(($H$11-$H$7*Q120)/SQRT(1-$H$7^2),TRUE)</x:f>
        <x:v>1.523047131589082e-8</x:v>
      </x:c>
      <x:c r="S120" s="84" t="n">
        <x:f>N120*R120</x:f>
        <x:v>3.046094263178164e-8</x:v>
      </x:c>
    </x:row>
    <x:row r="121">
      <x:c r="L121" s="64" t="n">
        <x:f>115</x:f>
        <x:v>115</x:v>
      </x:c>
      <x:c r="M121" s="84" t="n">
        <x:f>$C$14+(($H$8-$C$14)/$C$13)*L121</x:f>
        <x:v>-5.775614280265679</x:v>
      </x:c>
      <x:c r="N121" s="84" t="n">
        <x:f>IF(OR(L121=0,L121=$C$13),1,IF(MOD(L121,2)=0,2,4))</x:f>
        <x:v>4</x:v>
      </x:c>
      <x:c r="O121" s="84" t="n">
        <x:f>NORM.S.DIST(M121,FALSE)*NORM.S.DIST(($H$10-$H$7*M121)/SQRT(1-$H$7^2),TRUE)</x:f>
        <x:v>2.2770529733684895e-8</x:v>
      </x:c>
      <x:c r="P121" s="84" t="n">
        <x:f>N121*O121</x:f>
        <x:v>9.108211893473958e-8</x:v>
      </x:c>
      <x:c r="Q121" s="84" t="n">
        <x:f>$C$14+(($H$9-$C$14)/$C$13)*L121</x:f>
        <x:v>-5.825926780265679</x:v>
      </x:c>
      <x:c r="R121" s="84" t="n">
        <x:f>NORM.S.DIST(Q121,FALSE)*NORM.S.DIST(($H$11-$H$7*Q121)/SQRT(1-$H$7^2),TRUE)</x:f>
        <x:v>1.7006844258457775e-8</x:v>
      </x:c>
      <x:c r="S121" s="84" t="n">
        <x:f>N121*R121</x:f>
        <x:v>6.80273770338311e-8</x:v>
      </x:c>
    </x:row>
    <x:row r="122">
      <x:c r="L122" s="64" t="n">
        <x:f>116</x:f>
        <x:v>116</x:v>
      </x:c>
      <x:c r="M122" s="84" t="n">
        <x:f>$C$14+(($H$8-$C$14)/$C$13)*L122</x:f>
        <x:v>-5.75627179574625</x:v>
      </x:c>
      <x:c r="N122" s="84" t="n">
        <x:f>IF(OR(L122=0,L122=$C$13),1,IF(MOD(L122,2)=0,2,4))</x:f>
        <x:v>2</x:v>
      </x:c>
      <x:c r="O122" s="84" t="n">
        <x:f>NORM.S.DIST(M122,FALSE)*NORM.S.DIST(($H$10-$H$7*M122)/SQRT(1-$H$7^2),TRUE)</x:f>
        <x:v>2.5457103196237232e-8</x:v>
      </x:c>
      <x:c r="P122" s="84" t="n">
        <x:f>N122*O122</x:f>
        <x:v>5.0914206392474464e-8</x:v>
      </x:c>
      <x:c r="Q122" s="84" t="n">
        <x:f>$C$14+(($H$9-$C$14)/$C$13)*L122</x:f>
        <x:v>-5.80702179574625</x:v>
      </x:c>
      <x:c r="R122" s="84" t="n">
        <x:f>NORM.S.DIST(Q122,FALSE)*NORM.S.DIST(($H$11-$H$7*Q122)/SQRT(1-$H$7^2),TRUE)</x:f>
        <x:v>1.8983614671439926e-8</x:v>
      </x:c>
      <x:c r="S122" s="84" t="n">
        <x:f>N122*R122</x:f>
        <x:v>3.796722934287985e-8</x:v>
      </x:c>
    </x:row>
    <x:row r="123">
      <x:c r="L123" s="64" t="n">
        <x:f>117</x:f>
        <x:v>117</x:v>
      </x:c>
      <x:c r="M123" s="84" t="n">
        <x:f>$C$14+(($H$8-$C$14)/$C$13)*L123</x:f>
        <x:v>-5.736929311226821</x:v>
      </x:c>
      <x:c r="N123" s="84" t="n">
        <x:f>IF(OR(L123=0,L123=$C$13),1,IF(MOD(L123,2)=0,2,4))</x:f>
        <x:v>4</x:v>
      </x:c>
      <x:c r="O123" s="84" t="n">
        <x:f>NORM.S.DIST(M123,FALSE)*NORM.S.DIST(($H$10-$H$7*M123)/SQRT(1-$H$7^2),TRUE)</x:f>
        <x:v>2.8450005103998115e-8</x:v>
      </x:c>
      <x:c r="P123" s="84" t="n">
        <x:f>N123*O123</x:f>
        <x:v>1.1380002041599246e-7</x:v>
      </x:c>
      <x:c r="Q123" s="84" t="n">
        <x:f>$C$14+(($H$9-$C$14)/$C$13)*L123</x:f>
        <x:v>-5.788116811226821</x:v>
      </x:c>
      <x:c r="R123" s="84" t="n">
        <x:f>NORM.S.DIST(Q123,FALSE)*NORM.S.DIST(($H$11-$H$7*Q123)/SQRT(1-$H$7^2),TRUE)</x:f>
        <x:v>2.118258067592786e-8</x:v>
      </x:c>
      <x:c r="S123" s="84" t="n">
        <x:f>N123*R123</x:f>
        <x:v>8.473032270371143e-8</x:v>
      </x:c>
    </x:row>
    <x:row r="124">
      <x:c r="L124" s="64" t="n">
        <x:f>118</x:f>
        <x:v>118</x:v>
      </x:c>
      <x:c r="M124" s="84" t="n">
        <x:f>$C$14+(($H$8-$C$14)/$C$13)*L124</x:f>
        <x:v>-5.717586826707392</x:v>
      </x:c>
      <x:c r="N124" s="84" t="n">
        <x:f>IF(OR(L124=0,L124=$C$13),1,IF(MOD(L124,2)=0,2,4))</x:f>
        <x:v>2</x:v>
      </x:c>
      <x:c r="O124" s="84" t="n">
        <x:f>NORM.S.DIST(M124,FALSE)*NORM.S.DIST(($H$10-$H$7*M124)/SQRT(1-$H$7^2),TRUE)</x:f>
        <x:v>3.178287873306693e-8</x:v>
      </x:c>
      <x:c r="P124" s="84" t="n">
        <x:f>N124*O124</x:f>
        <x:v>6.356575746613386e-8</x:v>
      </x:c>
      <x:c r="Q124" s="84" t="n">
        <x:f>$C$14+(($H$9-$C$14)/$C$13)*L124</x:f>
        <x:v>-5.769211826707393</x:v>
      </x:c>
      <x:c r="R124" s="84" t="n">
        <x:f>NORM.S.DIST(Q124,FALSE)*NORM.S.DIST(($H$11-$H$7*Q124)/SQRT(1-$H$7^2),TRUE)</x:f>
        <x:v>2.3627817732967993e-8</x:v>
      </x:c>
      <x:c r="S124" s="84" t="n">
        <x:f>N124*R124</x:f>
        <x:v>4.7255635465935985e-8</x:v>
      </x:c>
    </x:row>
    <x:row r="125">
      <x:c r="L125" s="64" t="n">
        <x:f>119</x:f>
        <x:v>119</x:v>
      </x:c>
      <x:c r="M125" s="84" t="n">
        <x:f>$C$14+(($H$8-$C$14)/$C$13)*L125</x:f>
        <x:v>-5.698244342187964</x:v>
      </x:c>
      <x:c r="N125" s="84" t="n">
        <x:f>IF(OR(L125=0,L125=$C$13),1,IF(MOD(L125,2)=0,2,4))</x:f>
        <x:v>4</x:v>
      </x:c>
      <x:c r="O125" s="84" t="n">
        <x:f>NORM.S.DIST(M125,FALSE)*NORM.S.DIST(($H$10-$H$7*M125)/SQRT(1-$H$7^2),TRUE)</x:f>
        <x:v>3.549291178884291e-8</x:v>
      </x:c>
      <x:c r="P125" s="84" t="n">
        <x:f>N125*O125</x:f>
        <x:v>1.4197164715537164e-7</x:v>
      </x:c>
      <x:c r="Q125" s="84" t="n">
        <x:f>$C$14+(($H$9-$C$14)/$C$13)*L125</x:f>
        <x:v>-5.750306842187964</x:v>
      </x:c>
      <x:c r="R125" s="84" t="n">
        <x:f>NORM.S.DIST(Q125,FALSE)*NORM.S.DIST(($H$11-$H$7*Q125)/SQRT(1-$H$7^2),TRUE)</x:f>
        <x:v>2.634590604073631e-8</x:v>
      </x:c>
      <x:c r="S125" s="84" t="n">
        <x:f>N125*R125</x:f>
        <x:v>1.0538362416294524e-7</x:v>
      </x:c>
    </x:row>
    <x:row r="126">
      <x:c r="L126" s="64" t="n">
        <x:f>120</x:f>
        <x:v>120</x:v>
      </x:c>
      <x:c r="M126" s="84" t="n">
        <x:f>$C$14+(($H$8-$C$14)/$C$13)*L126</x:f>
        <x:v>-5.678901857668535</x:v>
      </x:c>
      <x:c r="N126" s="84" t="n">
        <x:f>IF(OR(L126=0,L126=$C$13),1,IF(MOD(L126,2)=0,2,4))</x:f>
        <x:v>2</x:v>
      </x:c>
      <x:c r="O126" s="84" t="n">
        <x:f>NORM.S.DIST(M126,FALSE)*NORM.S.DIST(($H$10-$H$7*M126)/SQRT(1-$H$7^2),TRUE)</x:f>
        <x:v>3.9621192740565614e-8</x:v>
      </x:c>
      <x:c r="P126" s="84" t="n">
        <x:f>N126*O126</x:f>
        <x:v>7.924238548113123e-8</x:v>
      </x:c>
      <x:c r="Q126" s="84" t="n">
        <x:f>$C$14+(($H$9-$C$14)/$C$13)*L126</x:f>
        <x:v>-5.731401857668535</x:v>
      </x:c>
      <x:c r="R126" s="84" t="n">
        <x:f>NORM.S.DIST(Q126,FALSE)*NORM.S.DIST(($H$11-$H$7*Q126)/SQRT(1-$H$7^2),TRUE)</x:f>
        <x:v>2.9366179494338844e-8</x:v>
      </x:c>
      <x:c r="S126" s="84" t="n">
        <x:f>N126*R126</x:f>
        <x:v>5.873235898867769e-8</x:v>
      </x:c>
    </x:row>
    <x:row r="127">
      <x:c r="L127" s="64" t="n">
        <x:f>121</x:f>
        <x:v>121</x:v>
      </x:c>
      <x:c r="M127" s="84" t="n">
        <x:f>$C$14+(($H$8-$C$14)/$C$13)*L127</x:f>
        <x:v>-5.659559373149106</x:v>
      </x:c>
      <x:c r="N127" s="84" t="n">
        <x:f>IF(OR(L127=0,L127=$C$13),1,IF(MOD(L127,2)=0,2,4))</x:f>
        <x:v>4</x:v>
      </x:c>
      <x:c r="O127" s="84" t="n">
        <x:f>NORM.S.DIST(M127,FALSE)*NORM.S.DIST(($H$10-$H$7*M127)/SQRT(1-$H$7^2),TRUE)</x:f>
        <x:v>4.421310110548627e-8</x:v>
      </x:c>
      <x:c r="P127" s="84" t="n">
        <x:f>N127*O127</x:f>
        <x:v>1.7685240442194508e-7</x:v>
      </x:c>
      <x:c r="Q127" s="84" t="n">
        <x:f>$C$14+(($H$9-$C$14)/$C$13)*L127</x:f>
        <x:v>-5.712496873149106</x:v>
      </x:c>
      <x:c r="R127" s="84" t="n">
        <x:f>NORM.S.DIST(Q127,FALSE)*NORM.S.DIST(($H$11-$H$7*Q127)/SQRT(1-$H$7^2),TRUE)</x:f>
        <x:v>3.272099813297728e-8</x:v>
      </x:c>
      <x:c r="S127" s="84" t="n">
        <x:f>N127*R127</x:f>
        <x:v>1.3088399253190913e-7</x:v>
      </x:c>
    </x:row>
    <x:row r="128">
      <x:c r="L128" s="64" t="n">
        <x:f>122</x:f>
        <x:v>122</x:v>
      </x:c>
      <x:c r="M128" s="84" t="n">
        <x:f>$C$14+(($H$8-$C$14)/$C$13)*L128</x:f>
        <x:v>-5.640216888629677</x:v>
      </x:c>
      <x:c r="N128" s="84" t="n">
        <x:f>IF(OR(L128=0,L128=$C$13),1,IF(MOD(L128,2)=0,2,4))</x:f>
        <x:v>2</x:v>
      </x:c>
      <x:c r="O128" s="84" t="n">
        <x:f>NORM.S.DIST(M128,FALSE)*NORM.S.DIST(($H$10-$H$7*M128)/SQRT(1-$H$7^2),TRUE)</x:f>
        <x:v>4.931873471893598e-8</x:v>
      </x:c>
      <x:c r="P128" s="84" t="n">
        <x:f>N128*O128</x:f>
        <x:v>9.863746943787195e-8</x:v>
      </x:c>
      <x:c r="Q128" s="84" t="n">
        <x:f>$C$14+(($H$9-$C$14)/$C$13)*L128</x:f>
        <x:v>-5.693591888629677</x:v>
      </x:c>
      <x:c r="R128" s="84" t="n">
        <x:f>NORM.S.DIST(Q128,FALSE)*NORM.S.DIST(($H$11-$H$7*Q128)/SQRT(1-$H$7^2),TRUE)</x:f>
        <x:v>3.644604615891346e-8</x:v>
      </x:c>
      <x:c r="S128" s="84" t="n">
        <x:f>N128*R128</x:f>
        <x:v>7.289209231782692e-8</x:v>
      </x:c>
    </x:row>
    <x:row r="129">
      <x:c r="L129" s="64" t="n">
        <x:f>123</x:f>
        <x:v>123</x:v>
      </x:c>
      <x:c r="M129" s="84" t="n">
        <x:f>$C$14+(($H$8-$C$14)/$C$13)*L129</x:f>
        <x:v>-5.620874404110248</x:v>
      </x:c>
      <x:c r="N129" s="84" t="n">
        <x:f>IF(OR(L129=0,L129=$C$13),1,IF(MOD(L129,2)=0,2,4))</x:f>
        <x:v>4</x:v>
      </x:c>
      <x:c r="O129" s="84" t="n">
        <x:f>NORM.S.DIST(M129,FALSE)*NORM.S.DIST(($H$10-$H$7*M129)/SQRT(1-$H$7^2),TRUE)</x:f>
        <x:v>5.4993377277902185e-8</x:v>
      </x:c>
      <x:c r="P129" s="84" t="n">
        <x:f>N129*O129</x:f>
        <x:v>2.1997350911160874e-7</x:v>
      </x:c>
      <x:c r="Q129" s="84" t="n">
        <x:f>$C$14+(($H$9-$C$14)/$C$13)*L129</x:f>
        <x:v>-5.6746869041102475</x:v>
      </x:c>
      <x:c r="R129" s="84" t="n">
        <x:f>NORM.S.DIST(Q129,FALSE)*NORM.S.DIST(($H$11-$H$7*Q129)/SQRT(1-$H$7^2),TRUE)</x:f>
        <x:v>4.058065778444018e-8</x:v>
      </x:c>
      <x:c r="S129" s="84" t="n">
        <x:f>N129*R129</x:f>
        <x:v>1.6232263113776073e-7</x:v>
      </x:c>
    </x:row>
    <x:row r="130">
      <x:c r="L130" s="64" t="n">
        <x:f>124</x:f>
        <x:v>124</x:v>
      </x:c>
      <x:c r="M130" s="84" t="n">
        <x:f>$C$14+(($H$8-$C$14)/$C$13)*L130</x:f>
        <x:v>-5.601531919590819</x:v>
      </x:c>
      <x:c r="N130" s="84" t="n">
        <x:f>IF(OR(L130=0,L130=$C$13),1,IF(MOD(L130,2)=0,2,4))</x:f>
        <x:v>2</x:v>
      </x:c>
      <x:c r="O130" s="84" t="n">
        <x:f>NORM.S.DIST(M130,FALSE)*NORM.S.DIST(($H$10-$H$7*M130)/SQRT(1-$H$7^2),TRUE)</x:f>
        <x:v>6.129800971591835e-8</x:v>
      </x:c>
      <x:c r="P130" s="84" t="n">
        <x:f>N130*O130</x:f>
        <x:v>1.225960194318367e-7</x:v>
      </x:c>
      <x:c r="Q130" s="84" t="n">
        <x:f>$C$14+(($H$9-$C$14)/$C$13)*L130</x:f>
        <x:v>-5.655781919590819</x:v>
      </x:c>
      <x:c r="R130" s="84" t="n">
        <x:f>NORM.S.DIST(Q130,FALSE)*NORM.S.DIST(($H$11-$H$7*Q130)/SQRT(1-$H$7^2),TRUE)</x:f>
        <x:v>4.516817334770067e-8</x:v>
      </x:c>
      <x:c r="S130" s="84" t="n">
        <x:f>N130*R130</x:f>
        <x:v>9.033634669540134e-8</x:v>
      </x:c>
    </x:row>
    <x:row r="131">
      <x:c r="L131" s="64" t="n">
        <x:f>125</x:f>
        <x:v>125</x:v>
      </x:c>
      <x:c r="M131" s="84" t="n">
        <x:f>$C$14+(($H$8-$C$14)/$C$13)*L131</x:f>
        <x:v>-5.58218943507139</x:v>
      </x:c>
      <x:c r="N131" s="84" t="n">
        <x:f>IF(OR(L131=0,L131=$C$13),1,IF(MOD(L131,2)=0,2,4))</x:f>
        <x:v>4</x:v>
      </x:c>
      <x:c r="O131" s="84" t="n">
        <x:f>NORM.S.DIST(M131,FALSE)*NORM.S.DIST(($H$10-$H$7*M131)/SQRT(1-$H$7^2),TRUE)</x:f>
        <x:v>6.829986925731053e-8</x:v>
      </x:c>
      <x:c r="P131" s="84" t="n">
        <x:f>N131*O131</x:f>
        <x:v>2.731994770292421e-7</x:v>
      </x:c>
      <x:c r="Q131" s="84" t="n">
        <x:f>$C$14+(($H$9-$C$14)/$C$13)*L131</x:f>
        <x:v>-5.63687693507139</x:v>
      </x:c>
      <x:c r="R131" s="84" t="n">
        <x:f>NORM.S.DIST(Q131,FALSE)*NORM.S.DIST(($H$11-$H$7*Q131)/SQRT(1-$H$7^2),TRUE)</x:f>
        <x:v>5.025632833657604e-8</x:v>
      </x:c>
      <x:c r="S131" s="84" t="n">
        <x:f>N131*R131</x:f>
        <x:v>2.0102531334630417e-7</x:v>
      </x:c>
    </x:row>
    <x:row r="132">
      <x:c r="L132" s="64" t="n">
        <x:f>126</x:f>
        <x:v>126</x:v>
      </x:c>
      <x:c r="M132" s="84" t="n">
        <x:f>$C$14+(($H$8-$C$14)/$C$13)*L132</x:f>
        <x:v>-5.562846950551961</x:v>
      </x:c>
      <x:c r="N132" s="84" t="n">
        <x:f>IF(OR(L132=0,L132=$C$13),1,IF(MOD(L132,2)=0,2,4))</x:f>
        <x:v>2</x:v>
      </x:c>
      <x:c r="O132" s="84" t="n">
        <x:f>NORM.S.DIST(M132,FALSE)*NORM.S.DIST(($H$10-$H$7*M132)/SQRT(1-$H$7^2),TRUE)</x:f>
        <x:v>7.607306031043332e-8</x:v>
      </x:c>
      <x:c r="P132" s="84" t="n">
        <x:f>N132*O132</x:f>
        <x:v>1.5214612062086663e-7</x:v>
      </x:c>
      <x:c r="Q132" s="84" t="n">
        <x:f>$C$14+(($H$9-$C$14)/$C$13)*L132</x:f>
        <x:v>-5.617971950551961</x:v>
      </x:c>
      <x:c r="R132" s="84" t="n">
        <x:f>NORM.S.DIST(Q132,FALSE)*NORM.S.DIST(($H$11-$H$7*Q132)/SQRT(1-$H$7^2),TRUE)</x:f>
        <x:v>5.58976781728314e-8</x:v>
      </x:c>
      <x:c r="S132" s="84" t="n">
        <x:f>N132*R132</x:f>
        <x:v>1.117953563456628e-7</x:v>
      </x:c>
    </x:row>
    <x:row r="133">
      <x:c r="L133" s="64" t="n">
        <x:f>127</x:f>
        <x:v>127</x:v>
      </x:c>
      <x:c r="M133" s="84" t="n">
        <x:f>$C$14+(($H$8-$C$14)/$C$13)*L133</x:f>
        <x:v>-5.543504466032532</x:v>
      </x:c>
      <x:c r="N133" s="84" t="n">
        <x:f>IF(OR(L133=0,L133=$C$13),1,IF(MOD(L133,2)=0,2,4))</x:f>
        <x:v>4</x:v>
      </x:c>
      <x:c r="O133" s="84" t="n">
        <x:f>NORM.S.DIST(M133,FALSE)*NORM.S.DIST(($H$10-$H$7*M133)/SQRT(1-$H$7^2),TRUE)</x:f>
        <x:v>8.469922169381222e-8</x:v>
      </x:c>
      <x:c r="P133" s="84" t="n">
        <x:f>N133*O133</x:f>
        <x:v>3.387968867752489e-7</x:v>
      </x:c>
      <x:c r="Q133" s="84" t="n">
        <x:f>$C$14+(($H$9-$C$14)/$C$13)*L133</x:f>
        <x:v>-5.599066966032533</x:v>
      </x:c>
      <x:c r="R133" s="84" t="n">
        <x:f>NORM.S.DIST(Q133,FALSE)*NORM.S.DIST(($H$11-$H$7*Q133)/SQRT(1-$H$7^2),TRUE)</x:f>
        <x:v>6.215006183724402e-8</x:v>
      </x:c>
      <x:c r="S133" s="84" t="n">
        <x:f>N133*R133</x:f>
        <x:v>2.486002473489761e-7</x:v>
      </x:c>
    </x:row>
    <x:row r="134">
      <x:c r="L134" s="64" t="n">
        <x:f>128</x:f>
        <x:v>128</x:v>
      </x:c>
      <x:c r="M134" s="84" t="n">
        <x:f>$C$14+(($H$8-$C$14)/$C$13)*L134</x:f>
        <x:v>-5.524161981513103</x:v>
      </x:c>
      <x:c r="N134" s="84" t="n">
        <x:f>IF(OR(L134=0,L134=$C$13),1,IF(MOD(L134,2)=0,2,4))</x:f>
        <x:v>2</x:v>
      </x:c>
      <x:c r="O134" s="84" t="n">
        <x:f>NORM.S.DIST(M134,FALSE)*NORM.S.DIST(($H$10-$H$7*M134)/SQRT(1-$H$7^2),TRUE)</x:f>
        <x:v>9.426825504750292e-8</x:v>
      </x:c>
      <x:c r="P134" s="84" t="n">
        <x:f>N134*O134</x:f>
        <x:v>1.8853651009500585e-7</x:v>
      </x:c>
      <x:c r="Q134" s="84" t="n">
        <x:f>$C$14+(($H$9-$C$14)/$C$13)*L134</x:f>
        <x:v>-5.580161981513104</x:v>
      </x:c>
      <x:c r="R134" s="84" t="n">
        <x:f>NORM.S.DIST(Q134,FALSE)*NORM.S.DIST(($H$11-$H$7*Q134)/SQRT(1-$H$7^2),TRUE)</x:f>
        <x:v>6.90771076615038e-8</x:v>
      </x:c>
      <x:c r="S134" s="84" t="n">
        <x:f>N134*R134</x:f>
        <x:v>1.381542153230076e-7</x:v>
      </x:c>
    </x:row>
    <x:row r="135">
      <x:c r="L135" s="64" t="n">
        <x:f>129</x:f>
        <x:v>129</x:v>
      </x:c>
      <x:c r="M135" s="84" t="n">
        <x:f>$C$14+(($H$8-$C$14)/$C$13)*L135</x:f>
        <x:v>-5.504819496993674</x:v>
      </x:c>
      <x:c r="N135" s="84" t="n">
        <x:f>IF(OR(L135=0,L135=$C$13),1,IF(MOD(L135,2)=0,2,4))</x:f>
        <x:v>4</x:v>
      </x:c>
      <x:c r="O135" s="84" t="n">
        <x:f>NORM.S.DIST(M135,FALSE)*NORM.S.DIST(($H$10-$H$7*M135)/SQRT(1-$H$7^2),TRUE)</x:f>
        <x:v>1.0487911966597402e-7</x:v>
      </x:c>
      <x:c r="P135" s="84" t="n">
        <x:f>N135*O135</x:f>
        <x:v>4.195164786638961e-7</x:v>
      </x:c>
      <x:c r="Q135" s="84" t="n">
        <x:f>$C$14+(($H$9-$C$14)/$C$13)*L135</x:f>
        <x:v>-5.561256996993675</x:v>
      </x:c>
      <x:c r="R135" s="84" t="n">
        <x:f>NORM.S.DIST(Q135,FALSE)*NORM.S.DIST(($H$11-$H$7*Q135)/SQRT(1-$H$7^2),TRUE)</x:f>
        <x:v>7.674878487530408e-8</x:v>
      </x:c>
      <x:c r="S135" s="84" t="n">
        <x:f>N135*R135</x:f>
        <x:v>3.069951395012163e-7</x:v>
      </x:c>
    </x:row>
    <x:row r="136">
      <x:c r="L136" s="64" t="n">
        <x:f>130</x:f>
        <x:v>130</x:v>
      </x:c>
      <x:c r="M136" s="84" t="n">
        <x:f>$C$14+(($H$8-$C$14)/$C$13)*L136</x:f>
        <x:v>-5.485477012474246</x:v>
      </x:c>
      <x:c r="N136" s="84" t="n">
        <x:f>IF(OR(L136=0,L136=$C$13),1,IF(MOD(L136,2)=0,2,4))</x:f>
        <x:v>2</x:v>
      </x:c>
      <x:c r="O136" s="84" t="n">
        <x:f>NORM.S.DIST(M136,FALSE)*NORM.S.DIST(($H$10-$H$7*M136)/SQRT(1-$H$7^2),TRUE)</x:f>
        <x:v>1.1664069939996518e-7</x:v>
      </x:c>
      <x:c r="P136" s="84" t="n">
        <x:f>N136*O136</x:f>
        <x:v>2.3328139879993037e-7</x:v>
      </x:c>
      <x:c r="Q136" s="84" t="n">
        <x:f>$C$14+(($H$9-$C$14)/$C$13)*L136</x:f>
        <x:v>-5.542352012474246</x:v>
      </x:c>
      <x:c r="R136" s="84" t="n">
        <x:f>NORM.S.DIST(Q136,FALSE)*NORM.S.DIST(($H$11-$H$7*Q136)/SQRT(1-$H$7^2),TRUE)</x:f>
        <x:v>8.52420047783373e-8</x:v>
      </x:c>
      <x:c r="S136" s="84" t="n">
        <x:f>N136*R136</x:f>
        <x:v>1.704840095566746e-7</x:v>
      </x:c>
    </x:row>
    <x:row r="137">
      <x:c r="L137" s="64" t="n">
        <x:f>131</x:f>
        <x:v>131</x:v>
      </x:c>
      <x:c r="M137" s="84" t="n">
        <x:f>$C$14+(($H$8-$C$14)/$C$13)*L137</x:f>
        <x:v>-5.466134527954817</x:v>
      </x:c>
      <x:c r="N137" s="84" t="n">
        <x:f>IF(OR(L137=0,L137=$C$13),1,IF(MOD(L137,2)=0,2,4))</x:f>
        <x:v>4</x:v>
      </x:c>
      <x:c r="O137" s="84" t="n">
        <x:f>NORM.S.DIST(M137,FALSE)*NORM.S.DIST(($H$10-$H$7*M137)/SQRT(1-$H$7^2),TRUE)</x:f>
        <x:v>1.296727477146924e-7</x:v>
      </x:c>
      <x:c r="P137" s="84" t="n">
        <x:f>N137*O137</x:f>
        <x:v>5.186909908587696e-7</x:v>
      </x:c>
      <x:c r="Q137" s="84" t="n">
        <x:f>$C$14+(($H$9-$C$14)/$C$13)*L137</x:f>
        <x:v>-5.523447027954817</x:v>
      </x:c>
      <x:c r="R137" s="84" t="n">
        <x:f>NORM.S.DIST(Q137,FALSE)*NORM.S.DIST(($H$11-$H$7*Q137)/SQRT(1-$H$7^2),TRUE)</x:f>
        <x:v>9.464127570797324e-8</x:v>
      </x:c>
      <x:c r="S137" s="84" t="n">
        <x:f>N137*R137</x:f>
        <x:v>3.78565102831893e-7</x:v>
      </x:c>
    </x:row>
    <x:row r="138">
      <x:c r="L138" s="64" t="n">
        <x:f>132</x:f>
        <x:v>132</x:v>
      </x:c>
      <x:c r="M138" s="84" t="n">
        <x:f>$C$14+(($H$8-$C$14)/$C$13)*L138</x:f>
        <x:v>-5.446792043435388</x:v>
      </x:c>
      <x:c r="N138" s="84" t="n">
        <x:f>IF(OR(L138=0,L138=$C$13),1,IF(MOD(L138,2)=0,2,4))</x:f>
        <x:v>2</x:v>
      </x:c>
      <x:c r="O138" s="84" t="n">
        <x:f>NORM.S.DIST(M138,FALSE)*NORM.S.DIST(($H$10-$H$7*M138)/SQRT(1-$H$7^2),TRUE)</x:f>
        <x:v>1.4410691746215592e-7</x:v>
      </x:c>
      <x:c r="P138" s="84" t="n">
        <x:f>N138*O138</x:f>
        <x:v>2.8821383492431184e-7</x:v>
      </x:c>
      <x:c r="Q138" s="84" t="n">
        <x:f>$C$14+(($H$9-$C$14)/$C$13)*L138</x:f>
        <x:v>-5.5045420434353876</x:v>
      </x:c>
      <x:c r="R138" s="84" t="n">
        <x:f>NORM.S.DIST(Q138,FALSE)*NORM.S.DIST(($H$11-$H$7*Q138)/SQRT(1-$H$7^2),TRUE)</x:f>
        <x:v>1.0503941629546618e-7</x:v>
      </x:c>
      <x:c r="S138" s="84" t="n">
        <x:f>N138*R138</x:f>
        <x:v>2.1007883259093236e-7</x:v>
      </x:c>
    </x:row>
    <x:row r="139">
      <x:c r="L139" s="64" t="n">
        <x:f>133</x:f>
        <x:v>133</x:v>
      </x:c>
      <x:c r="M139" s="84" t="n">
        <x:f>$C$14+(($H$8-$C$14)/$C$13)*L139</x:f>
        <x:v>-5.427449558915959</x:v>
      </x:c>
      <x:c r="N139" s="84" t="n">
        <x:f>IF(OR(L139=0,L139=$C$13),1,IF(MOD(L139,2)=0,2,4))</x:f>
        <x:v>4</x:v>
      </x:c>
      <x:c r="O139" s="84" t="n">
        <x:f>NORM.S.DIST(M139,FALSE)*NORM.S.DIST(($H$10-$H$7*M139)/SQRT(1-$H$7^2),TRUE)</x:f>
        <x:v>1.600878824279302e-7</x:v>
      </x:c>
      <x:c r="P139" s="84" t="n">
        <x:f>N139*O139</x:f>
        <x:v>6.403515297117208e-7</x:v>
      </x:c>
      <x:c r="Q139" s="84" t="n">
        <x:f>$C$14+(($H$9-$C$14)/$C$13)*L139</x:f>
        <x:v>-5.485637058915959</x:v>
      </x:c>
      <x:c r="R139" s="84" t="n">
        <x:f>NORM.S.DIST(Q139,FALSE)*NORM.S.DIST(($H$11-$H$7*Q139)/SQRT(1-$H$7^2),TRUE)</x:f>
        <x:v>1.1653833184778569e-7</x:v>
      </x:c>
      <x:c r="S139" s="84" t="n">
        <x:f>N139*R139</x:f>
        <x:v>4.6615332739114274e-7</x:v>
      </x:c>
    </x:row>
    <x:row r="140">
      <x:c r="L140" s="64" t="n">
        <x:f>134</x:f>
        <x:v>134</x:v>
      </x:c>
      <x:c r="M140" s="84" t="n">
        <x:f>$C$14+(($H$8-$C$14)/$C$13)*L140</x:f>
        <x:v>-5.408107074396531</x:v>
      </x:c>
      <x:c r="N140" s="84" t="n">
        <x:f>IF(OR(L140=0,L140=$C$13),1,IF(MOD(L140,2)=0,2,4))</x:f>
        <x:v>2</x:v>
      </x:c>
      <x:c r="O140" s="84" t="n">
        <x:f>NORM.S.DIST(M140,FALSE)*NORM.S.DIST(($H$10-$H$7*M140)/SQRT(1-$H$7^2),TRUE)</x:f>
        <x:v>1.7777455824949226e-7</x:v>
      </x:c>
      <x:c r="P140" s="84" t="n">
        <x:f>N140*O140</x:f>
        <x:v>3.555491164989845e-7</x:v>
      </x:c>
      <x:c r="Q140" s="84" t="n">
        <x:f>$C$14+(($H$9-$C$14)/$C$13)*L140</x:f>
        <x:v>-5.46673207439653</x:v>
      </x:c>
      <x:c r="R140" s="84" t="n">
        <x:f>NORM.S.DIST(Q140,FALSE)*NORM.S.DIST(($H$11-$H$7*Q140)/SQRT(1-$H$7^2),TRUE)</x:f>
        <x:v>1.292498590599723e-7</x:v>
      </x:c>
      <x:c r="S140" s="84" t="n">
        <x:f>N140*R140</x:f>
        <x:v>2.584997181199446e-7</x:v>
      </x:c>
    </x:row>
    <x:row r="141">
      <x:c r="L141" s="64" t="n">
        <x:f>135</x:f>
        <x:v>135</x:v>
      </x:c>
      <x:c r="M141" s="84" t="n">
        <x:f>$C$14+(($H$8-$C$14)/$C$13)*L141</x:f>
        <x:v>-5.388764589877102</x:v>
      </x:c>
      <x:c r="N141" s="84" t="n">
        <x:f>IF(OR(L141=0,L141=$C$13),1,IF(MOD(L141,2)=0,2,4))</x:f>
        <x:v>4</x:v>
      </x:c>
      <x:c r="O141" s="84" t="n">
        <x:f>NORM.S.DIST(M141,FALSE)*NORM.S.DIST(($H$10-$H$7*M141)/SQRT(1-$H$7^2),TRUE)</x:f>
        <x:v>1.9734143087581043e-7</x:v>
      </x:c>
      <x:c r="P141" s="84" t="n">
        <x:f>N141*O141</x:f>
        <x:v>7.893657235032417e-7</x:v>
      </x:c>
      <x:c r="Q141" s="84" t="n">
        <x:f>$C$14+(($H$9-$C$14)/$C$13)*L141</x:f>
        <x:v>-5.4478270898771015</x:v>
      </x:c>
      <x:c r="R141" s="84" t="n">
        <x:f>NORM.S.DIST(Q141,FALSE)*NORM.S.DIST(($H$11-$H$7*Q141)/SQRT(1-$H$7^2),TRUE)</x:f>
        <x:v>1.432966846555436e-7</x:v>
      </x:c>
      <x:c r="S141" s="84" t="n">
        <x:f>N141*R141</x:f>
        <x:v>5.731867386221744e-7</x:v>
      </x:c>
    </x:row>
    <x:row r="142">
      <x:c r="L142" s="64" t="n">
        <x:f>136</x:f>
        <x:v>136</x:v>
      </x:c>
      <x:c r="M142" s="84" t="n">
        <x:f>$C$14+(($H$8-$C$14)/$C$13)*L142</x:f>
        <x:v>-5.369422105357673</x:v>
      </x:c>
      <x:c r="N142" s="84" t="n">
        <x:f>IF(OR(L142=0,L142=$C$13),1,IF(MOD(L142,2)=0,2,4))</x:f>
        <x:v>2</x:v>
      </x:c>
      <x:c r="O142" s="84" t="n">
        <x:f>NORM.S.DIST(M142,FALSE)*NORM.S.DIST(($H$10-$H$7*M142)/SQRT(1-$H$7^2),TRUE)</x:f>
        <x:v>2.189800013485077e-7</x:v>
      </x:c>
      <x:c r="P142" s="84" t="n">
        <x:f>N142*O142</x:f>
        <x:v>4.379600026970154e-7</x:v>
      </x:c>
      <x:c r="Q142" s="84" t="n">
        <x:f>$C$14+(($H$9-$C$14)/$C$13)*L142</x:f>
        <x:v>-5.428922105357673</x:v>
      </x:c>
      <x:c r="R142" s="84" t="n">
        <x:f>NORM.S.DIST(Q142,FALSE)*NORM.S.DIST(($H$11-$H$7*Q142)/SQRT(1-$H$7^2),TRUE)</x:f>
        <x:v>1.588133439714021e-7</x:v>
      </x:c>
      <x:c r="S142" s="84" t="n">
        <x:f>N142*R142</x:f>
        <x:v>3.176266879428042e-7</x:v>
      </x:c>
    </x:row>
    <x:row r="143">
      <x:c r="L143" s="64" t="n">
        <x:f>137</x:f>
        <x:v>137</x:v>
      </x:c>
      <x:c r="M143" s="84" t="n">
        <x:f>$C$14+(($H$8-$C$14)/$C$13)*L143</x:f>
        <x:v>-5.350079620838244</x:v>
      </x:c>
      <x:c r="N143" s="84" t="n">
        <x:f>IF(OR(L143=0,L143=$C$13),1,IF(MOD(L143,2)=0,2,4))</x:f>
        <x:v>4</x:v>
      </x:c>
      <x:c r="O143" s="84" t="n">
        <x:f>NORM.S.DIST(M143,FALSE)*NORM.S.DIST(($H$10-$H$7*M143)/SQRT(1-$H$7^2),TRUE)</x:f>
        <x:v>2.4290035633555105e-7</x:v>
      </x:c>
      <x:c r="P143" s="84" t="n">
        <x:f>N143*O143</x:f>
        <x:v>9.716014253422042e-7</x:v>
      </x:c>
      <x:c r="Q143" s="84" t="n">
        <x:f>$C$14+(($H$9-$C$14)/$C$13)*L143</x:f>
        <x:v>-5.410017120838244</x:v>
      </x:c>
      <x:c r="R143" s="84" t="n">
        <x:f>NORM.S.DIST(Q143,FALSE)*NORM.S.DIST(($H$11-$H$7*Q143)/SQRT(1-$H$7^2),TRUE)</x:f>
        <x:v>1.7594730595033232e-7</x:v>
      </x:c>
      <x:c r="S143" s="84" t="n">
        <x:f>N143*R143</x:f>
        <x:v>7.037892238013293e-7</x:v>
      </x:c>
    </x:row>
    <x:row r="144">
      <x:c r="L144" s="64" t="n">
        <x:f>138</x:f>
        <x:v>138</x:v>
      </x:c>
      <x:c r="M144" s="84" t="n">
        <x:f>$C$14+(($H$8-$C$14)/$C$13)*L144</x:f>
        <x:v>-5.330737136318815</x:v>
      </x:c>
      <x:c r="N144" s="84" t="n">
        <x:f>IF(OR(L144=0,L144=$C$13),1,IF(MOD(L144,2)=0,2,4))</x:f>
        <x:v>2</x:v>
      </x:c>
      <x:c r="O144" s="84" t="n">
        <x:f>NORM.S.DIST(M144,FALSE)*NORM.S.DIST(($H$10-$H$7*M144)/SQRT(1-$H$7^2),TRUE)</x:f>
        <x:v>2.69332874541111e-7</x:v>
      </x:c>
      <x:c r="P144" s="84" t="n">
        <x:f>N144*O144</x:f>
        <x:v>5.38665749082222e-7</x:v>
      </x:c>
      <x:c r="Q144" s="84" t="n">
        <x:f>$C$14+(($H$9-$C$14)/$C$13)*L144</x:f>
        <x:v>-5.3911121363188155</x:v>
      </x:c>
      <x:c r="R144" s="84" t="n">
        <x:f>NORM.S.DIST(Q144,FALSE)*NORM.S.DIST(($H$11-$H$7*Q144)/SQRT(1-$H$7^2),TRUE)</x:f>
        <x:v>1.9486015148006067e-7</x:v>
      </x:c>
      <x:c r="S144" s="84" t="n">
        <x:f>N144*R144</x:f>
        <x:v>3.8972030296012133e-7</x:v>
      </x:c>
    </x:row>
    <x:row r="145">
      <x:c r="L145" s="64" t="n">
        <x:f>139</x:f>
        <x:v>139</x:v>
      </x:c>
      <x:c r="M145" s="84" t="n">
        <x:f>$C$14+(($H$8-$C$14)/$C$13)*L145</x:f>
        <x:v>-5.311394651799386</x:v>
      </x:c>
      <x:c r="N145" s="84" t="n">
        <x:f>IF(OR(L145=0,L145=$C$13),1,IF(MOD(L145,2)=0,2,4))</x:f>
        <x:v>4</x:v>
      </x:c>
      <x:c r="O145" s="84" t="n">
        <x:f>NORM.S.DIST(M145,FALSE)*NORM.S.DIST(($H$10-$H$7*M145)/SQRT(1-$H$7^2),TRUE)</x:f>
        <x:v>2.9853007985228226e-7</x:v>
      </x:c>
      <x:c r="P145" s="84" t="n">
        <x:f>N145*O145</x:f>
        <x:v>0.000001194120319409129</x:v>
      </x:c>
      <x:c r="Q145" s="84" t="n">
        <x:f>$C$14+(($H$9-$C$14)/$C$13)*L145</x:f>
        <x:v>-5.372207151799386</x:v>
      </x:c>
      <x:c r="R145" s="84" t="n">
        <x:f>NORM.S.DIST(Q145,FALSE)*NORM.S.DIST(($H$11-$H$7*Q145)/SQRT(1-$H$7^2),TRUE)</x:f>
        <x:v>2.1572885252455504e-7</x:v>
      </x:c>
      <x:c r="S145" s="84" t="n">
        <x:f>N145*R145</x:f>
        <x:v>8.629154100982202e-7</x:v>
      </x:c>
    </x:row>
    <x:row r="146">
      <x:c r="L146" s="64" t="n">
        <x:f>140</x:f>
        <x:v>140</x:v>
      </x:c>
      <x:c r="M146" s="84" t="n">
        <x:f>$C$14+(($H$8-$C$14)/$C$13)*L146</x:f>
        <x:v>-5.292052167279957</x:v>
      </x:c>
      <x:c r="N146" s="84" t="n">
        <x:f>IF(OR(L146=0,L146=$C$13),1,IF(MOD(L146,2)=0,2,4))</x:f>
        <x:v>2</x:v>
      </x:c>
      <x:c r="O146" s="84" t="n">
        <x:f>NORM.S.DIST(M146,FALSE)*NORM.S.DIST(($H$10-$H$7*M146)/SQRT(1-$H$7^2),TRUE)</x:f>
        <x:v>3.3076865286693523e-7</x:v>
      </x:c>
      <x:c r="P146" s="84" t="n">
        <x:f>N146*O146</x:f>
        <x:v>6.615373057338705e-7</x:v>
      </x:c>
      <x:c r="Q146" s="84" t="n">
        <x:f>$C$14+(($H$9-$C$14)/$C$13)*L146</x:f>
        <x:v>-5.353302167279957</x:v>
      </x:c>
      <x:c r="R146" s="84" t="n">
        <x:f>NORM.S.DIST(Q146,FALSE)*NORM.S.DIST(($H$11-$H$7*Q146)/SQRT(1-$H$7^2),TRUE)</x:f>
        <x:v>2.387471600323714e-7</x:v>
      </x:c>
      <x:c r="S146" s="84" t="n">
        <x:f>N146*R146</x:f>
        <x:v>4.774943200647428e-7</x:v>
      </x:c>
    </x:row>
    <x:row r="147">
      <x:c r="L147" s="64" t="n">
        <x:f>141</x:f>
        <x:v>141</x:v>
      </x:c>
      <x:c r="M147" s="84" t="n">
        <x:f>$C$14+(($H$8-$C$14)/$C$13)*L147</x:f>
        <x:v>-5.272709682760528</x:v>
      </x:c>
      <x:c r="N147" s="84" t="n">
        <x:f>IF(OR(L147=0,L147=$C$13),1,IF(MOD(L147,2)=0,2,4))</x:f>
        <x:v>4</x:v>
      </x:c>
      <x:c r="O147" s="84" t="n">
        <x:f>NORM.S.DIST(M147,FALSE)*NORM.S.DIST(($H$10-$H$7*M147)/SQRT(1-$H$7^2),TRUE)</x:f>
        <x:v>3.6635161327940554e-7</x:v>
      </x:c>
      <x:c r="P147" s="84" t="n">
        <x:f>N147*O147</x:f>
        <x:v>0.0000014654064531176222</x:v>
      </x:c>
      <x:c r="Q147" s="84" t="n">
        <x:f>$C$14+(($H$9-$C$14)/$C$13)*L147</x:f>
        <x:v>-5.334397182760528</x:v>
      </x:c>
      <x:c r="R147" s="84" t="n">
        <x:f>NORM.S.DIST(Q147,FALSE)*NORM.S.DIST(($H$11-$H$7*Q147)/SQRT(1-$H$7^2),TRUE)</x:f>
        <x:v>2.6412710918014714e-7</x:v>
      </x:c>
      <x:c r="S147" s="84" t="n">
        <x:f>N147*R147</x:f>
        <x:v>0.0000010565084367205886</x:v>
      </x:c>
    </x:row>
    <x:row r="148">
      <x:c r="L148" s="64" t="n">
        <x:f>142</x:f>
        <x:v>142</x:v>
      </x:c>
      <x:c r="M148" s="84" t="n">
        <x:f>$C$14+(($H$8-$C$14)/$C$13)*L148</x:f>
        <x:v>-5.253367198241099</x:v>
      </x:c>
      <x:c r="N148" s="84" t="n">
        <x:f>IF(OR(L148=0,L148=$C$13),1,IF(MOD(L148,2)=0,2,4))</x:f>
        <x:v>2</x:v>
      </x:c>
      <x:c r="O148" s="84" t="n">
        <x:f>NORM.S.DIST(M148,FALSE)*NORM.S.DIST(($H$10-$H$7*M148)/SQRT(1-$H$7^2),TRUE)</x:f>
        <x:v>4.0561068648444476e-7</x:v>
      </x:c>
      <x:c r="P148" s="84" t="n">
        <x:f>N148*O148</x:f>
        <x:v>8.112213729688895e-7</x:v>
      </x:c>
      <x:c r="Q148" s="84" t="n">
        <x:f>$C$14+(($H$9-$C$14)/$C$13)*L148</x:f>
        <x:v>-5.315492198241099</x:v>
      </x:c>
      <x:c r="R148" s="84" t="n">
        <x:f>NORM.S.DIST(Q148,FALSE)*NORM.S.DIST(($H$11-$H$7*Q148)/SQRT(1-$H$7^2),TRUE)</x:f>
        <x:v>2.9210065111840325e-7</x:v>
      </x:c>
      <x:c r="S148" s="84" t="n">
        <x:f>N148*R148</x:f>
        <x:v>5.842013022368065e-7</x:v>
      </x:c>
    </x:row>
    <x:row r="149">
      <x:c r="L149" s="64" t="n">
        <x:f>143</x:f>
        <x:v>143</x:v>
      </x:c>
      <x:c r="M149" s="84" t="n">
        <x:f>$C$14+(($H$8-$C$14)/$C$13)*L149</x:f>
        <x:v>-5.23402471372167</x:v>
      </x:c>
      <x:c r="N149" s="84" t="n">
        <x:f>IF(OR(L149=0,L149=$C$13),1,IF(MOD(L149,2)=0,2,4))</x:f>
        <x:v>4</x:v>
      </x:c>
      <x:c r="O149" s="84" t="n">
        <x:f>NORM.S.DIST(M149,FALSE)*NORM.S.DIST(($H$10-$H$7*M149)/SQRT(1-$H$7^2),TRUE)</x:f>
        <x:v>4.4890886869718926e-7</x:v>
      </x:c>
      <x:c r="P149" s="84" t="n">
        <x:f>N149*O149</x:f>
        <x:v>0.000001795635474788757</x:v>
      </x:c>
      <x:c r="Q149" s="84" t="n">
        <x:f>$C$14+(($H$9-$C$14)/$C$13)*L149</x:f>
        <x:v>-5.29658721372167</x:v>
      </x:c>
      <x:c r="R149" s="84" t="n">
        <x:f>NORM.S.DIST(Q149,FALSE)*NORM.S.DIST(($H$11-$H$7*Q149)/SQRT(1-$H$7^2),TRUE)</x:f>
        <x:v>3.229214210336404e-7</x:v>
      </x:c>
      <x:c r="S149" s="84" t="n">
        <x:f>N149*R149</x:f>
        <x:v>0.0000012916856841345616</x:v>
      </x:c>
    </x:row>
    <x:row r="150">
      <x:c r="L150" s="64" t="n">
        <x:f>144</x:f>
        <x:v>144</x:v>
      </x:c>
      <x:c r="M150" s="84" t="n">
        <x:f>$C$14+(($H$8-$C$14)/$C$13)*L150</x:f>
        <x:v>-5.214682229202241</x:v>
      </x:c>
      <x:c r="N150" s="84" t="n">
        <x:f>IF(OR(L150=0,L150=$C$13),1,IF(MOD(L150,2)=0,2,4))</x:f>
        <x:v>2</x:v>
      </x:c>
      <x:c r="O150" s="84" t="n">
        <x:f>NORM.S.DIST(M150,FALSE)*NORM.S.DIST(($H$10-$H$7*M150)/SQRT(1-$H$7^2),TRUE)</x:f>
        <x:v>4.966432058804571e-7</x:v>
      </x:c>
      <x:c r="P150" s="84" t="n">
        <x:f>N150*O150</x:f>
        <x:v>9.932864117609143e-7</x:v>
      </x:c>
      <x:c r="Q150" s="84" t="n">
        <x:f>$C$14+(($H$9-$C$14)/$C$13)*L150</x:f>
        <x:v>-5.277682229202242</x:v>
      </x:c>
      <x:c r="R150" s="84" t="n">
        <x:f>NORM.S.DIST(Q150,FALSE)*NORM.S.DIST(($H$11-$H$7*Q150)/SQRT(1-$H$7^2),TRUE)</x:f>
        <x:v>3.5686665302685976e-7</x:v>
      </x:c>
      <x:c r="S150" s="84" t="n">
        <x:f>N150*R150</x:f>
        <x:v>7.137333060537195e-7</x:v>
      </x:c>
    </x:row>
    <x:row r="151">
      <x:c r="L151" s="64" t="n">
        <x:f>145</x:f>
        <x:v>145</x:v>
      </x:c>
      <x:c r="M151" s="84" t="n">
        <x:f>$C$14+(($H$8-$C$14)/$C$13)*L151</x:f>
        <x:v>-5.195339744682812</x:v>
      </x:c>
      <x:c r="N151" s="84" t="n">
        <x:f>IF(OR(L151=0,L151=$C$13),1,IF(MOD(L151,2)=0,2,4))</x:f>
        <x:v>4</x:v>
      </x:c>
      <x:c r="O151" s="84" t="n">
        <x:f>NORM.S.DIST(M151,FALSE)*NORM.S.DIST(($H$10-$H$7*M151)/SQRT(1-$H$7^2),TRUE)</x:f>
        <x:v>5.492478028228841e-7</x:v>
      </x:c>
      <x:c r="P151" s="84" t="n">
        <x:f>N151*O151</x:f>
        <x:v>0.0000021969912112915363</x:v>
      </x:c>
      <x:c r="Q151" s="84" t="n">
        <x:f>$C$14+(($H$9-$C$14)/$C$13)*L151</x:f>
        <x:v>-5.258777244682813</x:v>
      </x:c>
      <x:c r="R151" s="84" t="n">
        <x:f>NORM.S.DIST(Q151,FALSE)*NORM.S.DIST(($H$11-$H$7*Q151)/SQRT(1-$H$7^2),TRUE)</x:f>
        <x:v>3.942392530362846e-7</x:v>
      </x:c>
      <x:c r="S151" s="84" t="n">
        <x:f>N151*R151</x:f>
        <x:v>0.0000015769570121451385</x:v>
      </x:c>
    </x:row>
    <x:row r="152">
      <x:c r="L152" s="64" t="n">
        <x:f>146</x:f>
        <x:v>146</x:v>
      </x:c>
      <x:c r="M152" s="84" t="n">
        <x:f>$C$14+(($H$8-$C$14)/$C$13)*L152</x:f>
        <x:v>-5.175997260163384</x:v>
      </x:c>
      <x:c r="N152" s="84" t="n">
        <x:f>IF(OR(L152=0,L152=$C$13),1,IF(MOD(L152,2)=0,2,4))</x:f>
        <x:v>2</x:v>
      </x:c>
      <x:c r="O152" s="84" t="n">
        <x:f>NORM.S.DIST(M152,FALSE)*NORM.S.DIST(($H$10-$H$7*M152)/SQRT(1-$H$7^2),TRUE)</x:f>
        <x:v>6.071970798248648e-7</x:v>
      </x:c>
      <x:c r="P152" s="84" t="n">
        <x:f>N152*O152</x:f>
        <x:v>0.0000012143941596497296</x:v>
      </x:c>
      <x:c r="Q152" s="84" t="n">
        <x:f>$C$14+(($H$9-$C$14)/$C$13)*L152</x:f>
        <x:v>-5.239872260163384</x:v>
      </x:c>
      <x:c r="R152" s="84" t="n">
        <x:f>NORM.S.DIST(Q152,FALSE)*NORM.S.DIST(($H$11-$H$7*Q152)/SQRT(1-$H$7^2),TRUE)</x:f>
        <x:v>4.353700418028433e-7</x:v>
      </x:c>
      <x:c r="S152" s="84" t="n">
        <x:f>N152*R152</x:f>
        <x:v>8.707400836056866e-7</x:v>
      </x:c>
    </x:row>
    <x:row r="153">
      <x:c r="L153" s="64" t="n">
        <x:f>147</x:f>
        <x:v>147</x:v>
      </x:c>
      <x:c r="M153" s="84" t="n">
        <x:f>$C$14+(($H$8-$C$14)/$C$13)*L153</x:f>
        <x:v>-5.156654775643955</x:v>
      </x:c>
      <x:c r="N153" s="84" t="n">
        <x:f>IF(OR(L153=0,L153=$C$13),1,IF(MOD(L153,2)=0,2,4))</x:f>
        <x:v>4</x:v>
      </x:c>
      <x:c r="O153" s="84" t="n">
        <x:f>NORM.S.DIST(M153,FALSE)*NORM.S.DIST(($H$10-$H$7*M153)/SQRT(1-$H$7^2),TRUE)</x:f>
        <x:v>6.710092956266458e-7</x:v>
      </x:c>
      <x:c r="P153" s="84" t="n">
        <x:f>N153*O153</x:f>
        <x:v>0.0000026840371825065833</x:v>
      </x:c>
      <x:c r="Q153" s="84" t="n">
        <x:f>$C$14+(($H$9-$C$14)/$C$13)*L153</x:f>
        <x:v>-5.220967275643956</x:v>
      </x:c>
      <x:c r="R153" s="84" t="n">
        <x:f>NORM.S.DIST(Q153,FALSE)*NORM.S.DIST(($H$11-$H$7*Q153)/SQRT(1-$H$7^2),TRUE)</x:f>
        <x:v>4.80620180693107e-7</x:v>
      </x:c>
      <x:c r="S153" s="84" t="n">
        <x:f>N153*R153</x:f>
        <x:v>0.000001922480722772428</x:v>
      </x:c>
    </x:row>
    <x:row r="154">
      <x:c r="L154" s="64" t="n">
        <x:f>148</x:f>
        <x:v>148</x:v>
      </x:c>
      <x:c r="M154" s="84" t="n">
        <x:f>$C$14+(($H$8-$C$14)/$C$13)*L154</x:f>
        <x:v>-5.137312291124526</x:v>
      </x:c>
      <x:c r="N154" s="84" t="n">
        <x:f>IF(OR(L154=0,L154=$C$13),1,IF(MOD(L154,2)=0,2,4))</x:f>
        <x:v>2</x:v>
      </x:c>
      <x:c r="O154" s="84" t="n">
        <x:f>NORM.S.DIST(M154,FALSE)*NORM.S.DIST(($H$10-$H$7*M154)/SQRT(1-$H$7^2),TRUE)</x:f>
        <x:v>7.412503564566642e-7</x:v>
      </x:c>
      <x:c r="P154" s="84" t="n">
        <x:f>N154*O154</x:f>
        <x:v>0.0000014825007129133283</x:v>
      </x:c>
      <x:c r="Q154" s="84" t="n">
        <x:f>$C$14+(($H$9-$C$14)/$C$13)*L154</x:f>
        <x:v>-5.202062291124526</x:v>
      </x:c>
      <x:c r="R154" s="84" t="n">
        <x:f>NORM.S.DIST(Q154,FALSE)*NORM.S.DIST(($H$11-$H$7*Q154)/SQRT(1-$H$7^2),TRUE)</x:f>
        <x:v>5.303837940576708e-7</x:v>
      </x:c>
      <x:c r="S154" s="84" t="n">
        <x:f>N154*R154</x:f>
        <x:v>0.0000010607675881153416</x:v>
      </x:c>
    </x:row>
    <x:row r="155">
      <x:c r="L155" s="64" t="n">
        <x:f>149</x:f>
        <x:v>149</x:v>
      </x:c>
      <x:c r="M155" s="84" t="n">
        <x:f>$C$14+(($H$8-$C$14)/$C$13)*L155</x:f>
        <x:v>-5.117969806605097</x:v>
      </x:c>
      <x:c r="N155" s="84" t="n">
        <x:f>IF(OR(L155=0,L155=$C$13),1,IF(MOD(L155,2)=0,2,4))</x:f>
        <x:v>4</x:v>
      </x:c>
      <x:c r="O155" s="84" t="n">
        <x:f>NORM.S.DIST(M155,FALSE)*NORM.S.DIST(($H$10-$H$7*M155)/SQRT(1-$H$7^2),TRUE)</x:f>
        <x:v>8.185379323913182e-7</x:v>
      </x:c>
      <x:c r="P155" s="84" t="n">
        <x:f>N155*O155</x:f>
        <x:v>0.000003274151729565273</x:v>
      </x:c>
      <x:c r="Q155" s="84" t="n">
        <x:f>$C$14+(($H$9-$C$14)/$C$13)*L155</x:f>
        <x:v>-5.183157306605097</x:v>
      </x:c>
      <x:c r="R155" s="84" t="n">
        <x:f>NORM.S.DIST(Q155,FALSE)*NORM.S.DIST(($H$11-$H$7*Q155)/SQRT(1-$H$7^2),TRUE)</x:f>
        <x:v>5.850908027155785e-7</x:v>
      </x:c>
      <x:c r="S155" s="84" t="n">
        <x:f>N155*R155</x:f>
        <x:v>0.000002340363210862314</x:v>
      </x:c>
    </x:row>
    <x:row r="156">
      <x:c r="L156" s="64" t="n">
        <x:f>150</x:f>
        <x:v>150</x:v>
      </x:c>
      <x:c r="M156" s="84" t="n">
        <x:f>$C$14+(($H$8-$C$14)/$C$13)*L156</x:f>
        <x:v>-5.098627322085669</x:v>
      </x:c>
      <x:c r="N156" s="84" t="n">
        <x:f>IF(OR(L156=0,L156=$C$13),1,IF(MOD(L156,2)=0,2,4))</x:f>
        <x:v>2</x:v>
      </x:c>
      <x:c r="O156" s="84" t="n">
        <x:f>NORM.S.DIST(M156,FALSE)*NORM.S.DIST(($H$10-$H$7*M156)/SQRT(1-$H$7^2),TRUE)</x:f>
        <x:v>9.035459036020217e-7</x:v>
      </x:c>
      <x:c r="P156" s="84" t="n">
        <x:f>N156*O156</x:f>
        <x:v>0.0000018070918072040433</x:v>
      </x:c>
      <x:c r="Q156" s="84" t="n">
        <x:f>$C$14+(($H$9-$C$14)/$C$13)*L156</x:f>
        <x:v>-5.164252322085668</x:v>
      </x:c>
      <x:c r="R156" s="84" t="n">
        <x:f>NORM.S.DIST(Q156,FALSE)*NORM.S.DIST(($H$11-$H$7*Q156)/SQRT(1-$H$7^2),TRUE)</x:f>
        <x:v>6.452099841193768e-7</x:v>
      </x:c>
      <x:c r="S156" s="84" t="n">
        <x:f>N156*R156</x:f>
        <x:v>0.0000012904199682387536</x:v>
      </x:c>
    </x:row>
    <x:row r="157">
      <x:c r="L157" s="64" t="n">
        <x:f>151</x:f>
        <x:v>151</x:v>
      </x:c>
      <x:c r="M157" s="84" t="n">
        <x:f>$C$14+(($H$8-$C$14)/$C$13)*L157</x:f>
        <x:v>-5.07928483756624</x:v>
      </x:c>
      <x:c r="N157" s="84" t="n">
        <x:f>IF(OR(L157=0,L157=$C$13),1,IF(MOD(L157,2)=0,2,4))</x:f>
        <x:v>4</x:v>
      </x:c>
      <x:c r="O157" s="84" t="n">
        <x:f>NORM.S.DIST(M157,FALSE)*NORM.S.DIST(($H$10-$H$7*M157)/SQRT(1-$H$7^2),TRUE)</x:f>
        <x:v>9.970091605247434e-7</x:v>
      </x:c>
      <x:c r="P157" s="84" t="n">
        <x:f>N157*O157</x:f>
        <x:v>0.000003988036642098974</x:v>
      </x:c>
      <x:c r="Q157" s="84" t="n">
        <x:f>$C$14+(($H$9-$C$14)/$C$13)*L157</x:f>
        <x:v>-5.145347337566239</x:v>
      </x:c>
      <x:c r="R157" s="84" t="n">
        <x:f>NORM.S.DIST(Q157,FALSE)*NORM.S.DIST(($H$11-$H$7*Q157)/SQRT(1-$H$7^2),TRUE)</x:f>
        <x:v>7.112522757726362e-7</x:v>
      </x:c>
      <x:c r="S157" s="84" t="n">
        <x:f>N157*R157</x:f>
        <x:v>0.000002845009103090545</x:v>
      </x:c>
    </x:row>
    <x:row r="158">
      <x:c r="L158" s="64" t="n">
        <x:f>152</x:f>
        <x:v>152</x:v>
      </x:c>
      <x:c r="M158" s="84" t="n">
        <x:f>$C$14+(($H$8-$C$14)/$C$13)*L158</x:f>
        <x:v>-5.059942353046811</x:v>
      </x:c>
      <x:c r="N158" s="84" t="n">
        <x:f>IF(OR(L158=0,L158=$C$13),1,IF(MOD(L158,2)=0,2,4))</x:f>
        <x:v>2</x:v>
      </x:c>
      <x:c r="O158" s="84" t="n">
        <x:f>NORM.S.DIST(M158,FALSE)*NORM.S.DIST(($H$10-$H$7*M158)/SQRT(1-$H$7^2),TRUE)</x:f>
        <x:v>0.000001099728783523461</x:v>
      </x:c>
      <x:c r="P158" s="84" t="n">
        <x:f>N158*O158</x:f>
        <x:v>0.000002199457567046922</x:v>
      </x:c>
      <x:c r="Q158" s="84" t="n">
        <x:f>$C$14+(($H$9-$C$14)/$C$13)*L158</x:f>
        <x:v>-5.12644235304681</x:v>
      </x:c>
      <x:c r="R158" s="84" t="n">
        <x:f>NORM.S.DIST(Q158,FALSE)*NORM.S.DIST(($H$11-$H$7*Q158)/SQRT(1-$H$7^2),TRUE)</x:f>
        <x:v>7.837743395448495e-7</x:v>
      </x:c>
      <x:c r="S158" s="84" t="n">
        <x:f>N158*R158</x:f>
        <x:v>0.000001567548679089699</x:v>
      </x:c>
    </x:row>
    <x:row r="159">
      <x:c r="L159" s="64" t="n">
        <x:f>153</x:f>
        <x:v>153</x:v>
      </x:c>
      <x:c r="M159" s="84" t="n">
        <x:f>$C$14+(($H$8-$C$14)/$C$13)*L159</x:f>
        <x:v>-5.040599868527382</x:v>
      </x:c>
      <x:c r="N159" s="84" t="n">
        <x:f>IF(OR(L159=0,L159=$C$13),1,IF(MOD(L159,2)=0,2,4))</x:f>
        <x:v>4</x:v>
      </x:c>
      <x:c r="O159" s="84" t="n">
        <x:f>NORM.S.DIST(M159,FALSE)*NORM.S.DIST(($H$10-$H$7*M159)/SQRT(1-$H$7^2),TRUE)</x:f>
        <x:v>0.0000012125776292351686</x:v>
      </x:c>
      <x:c r="P159" s="84" t="n">
        <x:f>N159*O159</x:f>
        <x:v>0.0000048503105169406745</x:v>
      </x:c>
      <x:c r="Q159" s="84" t="n">
        <x:f>$C$14+(($H$9-$C$14)/$C$13)*L159</x:f>
        <x:v>-5.107537368527382</x:v>
      </x:c>
      <x:c r="R159" s="84" t="n">
        <x:f>NORM.S.DIST(Q159,FALSE)*NORM.S.DIST(($H$11-$H$7*Q159)/SQRT(1-$H$7^2),TRUE)</x:f>
        <x:v>8.633824056589467e-7</x:v>
      </x:c>
      <x:c r="S159" s="84" t="n">
        <x:f>N159*R159</x:f>
        <x:v>0.000003453529622635787</x:v>
      </x:c>
    </x:row>
    <x:row r="160">
      <x:c r="L160" s="64" t="n">
        <x:f>154</x:f>
        <x:v>154</x:v>
      </x:c>
      <x:c r="M160" s="84" t="n">
        <x:f>$C$14+(($H$8-$C$14)/$C$13)*L160</x:f>
        <x:v>-5.021257384007953</x:v>
      </x:c>
      <x:c r="N160" s="84" t="n">
        <x:f>IF(OR(L160=0,L160=$C$13),1,IF(MOD(L160,2)=0,2,4))</x:f>
        <x:v>2</x:v>
      </x:c>
      <x:c r="O160" s="84" t="n">
        <x:f>NORM.S.DIST(M160,FALSE)*NORM.S.DIST(($H$10-$H$7*M160)/SQRT(1-$H$7^2),TRUE)</x:f>
        <x:v>0.0000013365063524823181</x:v>
      </x:c>
      <x:c r="P160" s="84" t="n">
        <x:f>N160*O160</x:f>
        <x:v>0.0000026730127049646363</x:v>
      </x:c>
      <x:c r="Q160" s="84" t="n">
        <x:f>$C$14+(($H$9-$C$14)/$C$13)*L160</x:f>
        <x:v>-5.088632384007953</x:v>
      </x:c>
      <x:c r="R160" s="84" t="n">
        <x:f>NORM.S.DIST(Q160,FALSE)*NORM.S.DIST(($H$11-$H$7*Q160)/SQRT(1-$H$7^2),TRUE)</x:f>
        <x:v>9.507364163170817e-7</x:v>
      </x:c>
      <x:c r="S160" s="84" t="n">
        <x:f>N160*R160</x:f>
        <x:v>0.0000019014728326341635</x:v>
      </x:c>
    </x:row>
    <x:row r="161">
      <x:c r="L161" s="64" t="n">
        <x:f>155</x:f>
        <x:v>155</x:v>
      </x:c>
      <x:c r="M161" s="84" t="n">
        <x:f>$C$14+(($H$8-$C$14)/$C$13)*L161</x:f>
        <x:v>-5.001914899488524</x:v>
      </x:c>
      <x:c r="N161" s="84" t="n">
        <x:f>IF(OR(L161=0,L161=$C$13),1,IF(MOD(L161,2)=0,2,4))</x:f>
        <x:v>4</x:v>
      </x:c>
      <x:c r="O161" s="84" t="n">
        <x:f>NORM.S.DIST(M161,FALSE)*NORM.S.DIST(($H$10-$H$7*M161)/SQRT(1-$H$7^2),TRUE)</x:f>
        <x:v>0.0000014725498944217947</x:v>
      </x:c>
      <x:c r="P161" s="84" t="n">
        <x:f>N161*O161</x:f>
        <x:v>0.000005890199577687179</x:v>
      </x:c>
      <x:c r="Q161" s="84" t="n">
        <x:f>$C$14+(($H$9-$C$14)/$C$13)*L161</x:f>
        <x:v>-5.069727399488524</x:v>
      </x:c>
      <x:c r="R161" s="84" t="n">
        <x:f>NORM.S.DIST(Q161,FALSE)*NORM.S.DIST(($H$11-$H$7*Q161)/SQRT(1-$H$7^2),TRUE)</x:f>
        <x:v>0.0000010465544901823892</x:v>
      </x:c>
      <x:c r="S161" s="84" t="n">
        <x:f>N161*R161</x:f>
        <x:v>0.000004186217960729557</x:v>
      </x:c>
    </x:row>
    <x:row r="162">
      <x:c r="L162" s="64" t="n">
        <x:f>156</x:f>
        <x:v>156</x:v>
      </x:c>
      <x:c r="M162" s="84" t="n">
        <x:f>$C$14+(($H$8-$C$14)/$C$13)*L162</x:f>
        <x:v>-4.982572414969095</x:v>
      </x:c>
      <x:c r="N162" s="84" t="n">
        <x:f>IF(OR(L162=0,L162=$C$13),1,IF(MOD(L162,2)=0,2,4))</x:f>
        <x:v>2</x:v>
      </x:c>
      <x:c r="O162" s="84" t="n">
        <x:f>NORM.S.DIST(M162,FALSE)*NORM.S.DIST(($H$10-$H$7*M162)/SQRT(1-$H$7^2),TRUE)</x:f>
        <x:v>0.0000016218344694699833</x:v>
      </x:c>
      <x:c r="P162" s="84" t="n">
        <x:f>N162*O162</x:f>
        <x:v>0.0000032436689389399666</x:v>
      </x:c>
      <x:c r="Q162" s="84" t="n">
        <x:f>$C$14+(($H$9-$C$14)/$C$13)*L162</x:f>
        <x:v>-5.050822414969096</x:v>
      </x:c>
      <x:c r="R162" s="84" t="n">
        <x:f>NORM.S.DIST(Q162,FALSE)*NORM.S.DIST(($H$11-$H$7*Q162)/SQRT(1-$H$7^2),TRUE)</x:f>
        <x:v>0.000001151617730250474</x:v>
      </x:c>
      <x:c r="S162" s="84" t="n">
        <x:f>N162*R162</x:f>
        <x:v>0.000002303235460500948</x:v>
      </x:c>
    </x:row>
    <x:row r="163">
      <x:c r="L163" s="64" t="n">
        <x:f>157</x:f>
        <x:v>157</x:v>
      </x:c>
      <x:c r="M163" s="84" t="n">
        <x:f>$C$14+(($H$8-$C$14)/$C$13)*L163</x:f>
        <x:v>-4.963229930449666</x:v>
      </x:c>
      <x:c r="N163" s="84" t="n">
        <x:f>IF(OR(L163=0,L163=$C$13),1,IF(MOD(L163,2)=0,2,4))</x:f>
        <x:v>4</x:v>
      </x:c>
      <x:c r="O163" s="84" t="n">
        <x:f>NORM.S.DIST(M163,FALSE)*NORM.S.DIST(($H$10-$H$7*M163)/SQRT(1-$H$7^2),TRUE)</x:f>
        <x:v>0.000001785585085503454</x:v>
      </x:c>
      <x:c r="P163" s="84" t="n">
        <x:f>N163*O163</x:f>
        <x:v>0.000007142340342013816</x:v>
      </x:c>
      <x:c r="Q163" s="84" t="n">
        <x:f>$C$14+(($H$9-$C$14)/$C$13)*L163</x:f>
        <x:v>-5.031917430449666</x:v>
      </x:c>
      <x:c r="R163" s="84" t="n">
        <x:f>NORM.S.DIST(Q163,FALSE)*NORM.S.DIST(($H$11-$H$7*Q163)/SQRT(1-$H$7^2),TRUE)</x:f>
        <x:v>0.0000012667753990264174</x:v>
      </x:c>
      <x:c r="S163" s="84" t="n">
        <x:f>N163*R163</x:f>
        <x:v>0.0000050671015961056695</x:v>
      </x:c>
    </x:row>
    <x:row r="164">
      <x:c r="L164" s="64" t="n">
        <x:f>158</x:f>
        <x:v>158</x:v>
      </x:c>
      <x:c r="M164" s="84" t="n">
        <x:f>$C$14+(($H$8-$C$14)/$C$13)*L164</x:f>
        <x:v>-4.943887445930237</x:v>
      </x:c>
      <x:c r="N164" s="84" t="n">
        <x:f>IF(OR(L164=0,L164=$C$13),1,IF(MOD(L164,2)=0,2,4))</x:f>
        <x:v>2</x:v>
      </x:c>
      <x:c r="O164" s="84" t="n">
        <x:f>NORM.S.DIST(M164,FALSE)*NORM.S.DIST(($H$10-$H$7*M164)/SQRT(1-$H$7^2),TRUE)</x:f>
        <x:v>0.000001965133633886784</x:v>
      </x:c>
      <x:c r="P164" s="84" t="n">
        <x:f>N164*O164</x:f>
        <x:v>0.000003930267267773568</x:v>
      </x:c>
      <x:c r="Q164" s="84" t="n">
        <x:f>$C$14+(($H$9-$C$14)/$C$13)*L164</x:f>
        <x:v>-5.013012445930237</x:v>
      </x:c>
      <x:c r="R164" s="84" t="n">
        <x:f>NORM.S.DIST(Q164,FALSE)*NORM.S.DIST(($H$11-$H$7*Q164)/SQRT(1-$H$7^2),TRUE)</x:f>
        <x:v>0.0000013929504863730733</x:v>
      </x:c>
      <x:c r="S164" s="84" t="n">
        <x:f>N164*R164</x:f>
        <x:v>0.0000027859009727461467</x:v>
      </x:c>
    </x:row>
    <x:row r="165">
      <x:c r="L165" s="64" t="n">
        <x:f>159</x:f>
        <x:v>159</x:v>
      </x:c>
      <x:c r="M165" s="84" t="n">
        <x:f>$C$14+(($H$8-$C$14)/$C$13)*L165</x:f>
        <x:v>-4.924544961410808</x:v>
      </x:c>
      <x:c r="N165" s="84" t="n">
        <x:f>IF(OR(L165=0,L165=$C$13),1,IF(MOD(L165,2)=0,2,4))</x:f>
        <x:v>4</x:v>
      </x:c>
      <x:c r="O165" s="84" t="n">
        <x:f>NORM.S.DIST(M165,FALSE)*NORM.S.DIST(($H$10-$H$7*M165)/SQRT(1-$H$7^2),TRUE)</x:f>
        <x:v>0.000002161927588024785</x:v>
      </x:c>
      <x:c r="P165" s="84" t="n">
        <x:f>N165*O165</x:f>
        <x:v>0.00000864771035209914</x:v>
      </x:c>
      <x:c r="Q165" s="84" t="n">
        <x:f>$C$14+(($H$9-$C$14)/$C$13)*L165</x:f>
        <x:v>-4.994107461410808</x:v>
      </x:c>
      <x:c r="R165" s="84" t="n">
        <x:f>NORM.S.DIST(Q165,FALSE)*NORM.S.DIST(($H$11-$H$7*Q165)/SQRT(1-$H$7^2),TRUE)</x:f>
        <x:v>0.0000015311456969165517</x:v>
      </x:c>
      <x:c r="S165" s="84" t="n">
        <x:f>N165*R165</x:f>
        <x:v>0.000006124582787666207</x:v>
      </x:c>
    </x:row>
    <x:row r="166">
      <x:c r="L166" s="64" t="n">
        <x:f>160</x:f>
        <x:v>160</x:v>
      </x:c>
      <x:c r="M166" s="84" t="n">
        <x:f>$C$14+(($H$8-$C$14)/$C$13)*L166</x:f>
        <x:v>-4.905202476891379</x:v>
      </x:c>
      <x:c r="N166" s="84" t="n">
        <x:f>IF(OR(L166=0,L166=$C$13),1,IF(MOD(L166,2)=0,2,4))</x:f>
        <x:v>2</x:v>
      </x:c>
      <x:c r="O166" s="84" t="n">
        <x:f>NORM.S.DIST(M166,FALSE)*NORM.S.DIST(($H$10-$H$7*M166)/SQRT(1-$H$7^2),TRUE)</x:f>
        <x:v>0.0000023775393513782915</x:v>
      </x:c>
      <x:c r="P166" s="84" t="n">
        <x:f>N166*O166</x:f>
        <x:v>0.000004755078702756583</x:v>
      </x:c>
      <x:c r="Q166" s="84" t="n">
        <x:f>$C$14+(($H$9-$C$14)/$C$13)*L166</x:f>
        <x:v>-4.975202476891379</x:v>
      </x:c>
      <x:c r="R166" s="84" t="n">
        <x:f>NORM.S.DIST(Q166,FALSE)*NORM.S.DIST(($H$11-$H$7*Q166)/SQRT(1-$H$7^2),TRUE)</x:f>
        <x:v>0.0000016824498854864065</x:v>
      </x:c>
      <x:c r="S166" s="84" t="n">
        <x:f>N166*R166</x:f>
        <x:v>0.000003364899770972813</x:v>
      </x:c>
    </x:row>
    <x:row r="167">
      <x:c r="L167" s="64" t="n">
        <x:f>161</x:f>
        <x:v>161</x:v>
      </x:c>
      <x:c r="M167" s="84" t="n">
        <x:f>$C$14+(($H$8-$C$14)/$C$13)*L167</x:f>
        <x:v>-4.885859992371951</x:v>
      </x:c>
      <x:c r="N167" s="84" t="n">
        <x:f>IF(OR(L167=0,L167=$C$13),1,IF(MOD(L167,2)=0,2,4))</x:f>
        <x:v>4</x:v>
      </x:c>
      <x:c r="O167" s="84" t="n">
        <x:f>NORM.S.DIST(M167,FALSE)*NORM.S.DIST(($H$10-$H$7*M167)/SQRT(1-$H$7^2),TRUE)</x:f>
        <x:v>0.000002613676298222028</x:v>
      </x:c>
      <x:c r="P167" s="84" t="n">
        <x:f>N167*O167</x:f>
        <x:v>0.000010454705192888112</x:v>
      </x:c>
      <x:c r="Q167" s="84" t="n">
        <x:f>$C$14+(($H$9-$C$14)/$C$13)*L167</x:f>
        <x:v>-4.9562974923719505</x:v>
      </x:c>
      <x:c r="R167" s="84" t="n">
        <x:f>NORM.S.DIST(Q167,FALSE)*NORM.S.DIST(($H$11-$H$7*Q167)/SQRT(1-$H$7^2),TRUE)</x:f>
        <x:v>0.0000018480449707338615</x:v>
      </x:c>
      <x:c r="S167" s="84" t="n">
        <x:f>N167*R167</x:f>
        <x:v>0.000007392179882935446</x:v>
      </x:c>
    </x:row>
    <x:row r="168">
      <x:c r="L168" s="64" t="n">
        <x:f>162</x:f>
        <x:v>162</x:v>
      </x:c>
      <x:c r="M168" s="84" t="n">
        <x:f>$C$14+(($H$8-$C$14)/$C$13)*L168</x:f>
        <x:v>-4.866517507852522</x:v>
      </x:c>
      <x:c r="N168" s="84" t="n">
        <x:f>IF(OR(L168=0,L168=$C$13),1,IF(MOD(L168,2)=0,2,4))</x:f>
        <x:v>2</x:v>
      </x:c>
      <x:c r="O168" s="84" t="n">
        <x:f>NORM.S.DIST(M168,FALSE)*NORM.S.DIST(($H$10-$H$7*M168)/SQRT(1-$H$7^2),TRUE)</x:f>
        <x:v>0.000002872191552861957</x:v>
      </x:c>
      <x:c r="P168" s="84" t="n">
        <x:f>N168*O168</x:f>
        <x:v>0.000005744383105723914</x:v>
      </x:c>
      <x:c r="Q168" s="84" t="n">
        <x:f>$C$14+(($H$9-$C$14)/$C$13)*L168</x:f>
        <x:v>-4.937392507852522</x:v>
      </x:c>
      <x:c r="R168" s="84" t="n">
        <x:f>NORM.S.DIST(Q168,FALSE)*NORM.S.DIST(($H$11-$H$7*Q168)/SQRT(1-$H$7^2),TRUE)</x:f>
        <x:v>0.000002029213358812099</x:v>
      </x:c>
      <x:c r="S168" s="84" t="n">
        <x:f>N168*R168</x:f>
        <x:v>0.000004058426717624198</x:v>
      </x:c>
    </x:row>
    <x:row r="169">
      <x:c r="L169" s="64" t="n">
        <x:f>163</x:f>
        <x:v>163</x:v>
      </x:c>
      <x:c r="M169" s="84" t="n">
        <x:f>$C$14+(($H$8-$C$14)/$C$13)*L169</x:f>
        <x:v>-4.847175023333093</x:v>
      </x:c>
      <x:c r="N169" s="84" t="n">
        <x:f>IF(OR(L169=0,L169=$C$13),1,IF(MOD(L169,2)=0,2,4))</x:f>
        <x:v>4</x:v>
      </x:c>
      <x:c r="O169" s="84" t="n">
        <x:f>NORM.S.DIST(M169,FALSE)*NORM.S.DIST(($H$10-$H$7*M169)/SQRT(1-$H$7^2),TRUE)</x:f>
        <x:v>0.00000315509555556864</x:v>
      </x:c>
      <x:c r="P169" s="84" t="n">
        <x:f>N169*O169</x:f>
        <x:v>0.00001262038222227456</x:v>
      </x:c>
      <x:c r="Q169" s="84" t="n">
        <x:f>$C$14+(($H$9-$C$14)/$C$13)*L169</x:f>
        <x:v>-4.918487523333093</x:v>
      </x:c>
      <x:c r="R169" s="84" t="n">
        <x:f>NORM.S.DIST(Q169,FALSE)*NORM.S.DIST(($H$11-$H$7*Q169)/SQRT(1-$H$7^2),TRUE)</x:f>
        <x:v>0.0000022273459108207577</x:v>
      </x:c>
      <x:c r="S169" s="84" t="n">
        <x:f>N169*R169</x:f>
        <x:v>0.00000890938364328303</x:v>
      </x:c>
    </x:row>
    <x:row r="170">
      <x:c r="L170" s="64" t="n">
        <x:f>164</x:f>
        <x:v>164</x:v>
      </x:c>
      <x:c r="M170" s="84" t="n">
        <x:f>$C$14+(($H$8-$C$14)/$C$13)*L170</x:f>
        <x:v>-4.827832538813664</x:v>
      </x:c>
      <x:c r="N170" s="84" t="n">
        <x:f>IF(OR(L170=0,L170=$C$13),1,IF(MOD(L170,2)=0,2,4))</x:f>
        <x:v>2</x:v>
      </x:c>
      <x:c r="O170" s="84" t="n">
        <x:f>NORM.S.DIST(M170,FALSE)*NORM.S.DIST(($H$10-$H$7*M170)/SQRT(1-$H$7^2),TRUE)</x:f>
        <x:v>0.000003464568466124461</x:v>
      </x:c>
      <x:c r="P170" s="84" t="n">
        <x:f>N170*O170</x:f>
        <x:v>0.000006929136932248922</x:v>
      </x:c>
      <x:c r="Q170" s="84" t="n">
        <x:f>$C$14+(($H$9-$C$14)/$C$13)*L170</x:f>
        <x:v>-4.8995825388136645</x:v>
      </x:c>
      <x:c r="R170" s="84" t="n">
        <x:f>NORM.S.DIST(Q170,FALSE)*NORM.S.DIST(($H$11-$H$7*Q170)/SQRT(1-$H$7^2),TRUE)</x:f>
        <x:v>0.000002443950489613138</x:v>
      </x:c>
      <x:c r="S170" s="84" t="n">
        <x:f>N170*R170</x:f>
        <x:v>0.000004887900979226276</x:v>
      </x:c>
    </x:row>
    <x:row r="171">
      <x:c r="L171" s="64" t="n">
        <x:f>165</x:f>
        <x:v>165</x:v>
      </x:c>
      <x:c r="M171" s="84" t="n">
        <x:f>$C$14+(($H$8-$C$14)/$C$13)*L171</x:f>
        <x:v>-4.808490054294236</x:v>
      </x:c>
      <x:c r="N171" s="84" t="n">
        <x:f>IF(OR(L171=0,L171=$C$13),1,IF(MOD(L171,2)=0,2,4))</x:f>
        <x:v>4</x:v>
      </x:c>
      <x:c r="O171" s="84" t="n">
        <x:f>NORM.S.DIST(M171,FALSE)*NORM.S.DIST(($H$10-$H$7*M171)/SQRT(1-$H$7^2),TRUE)</x:f>
        <x:v>0.0000038029734586257574</x:v>
      </x:c>
      <x:c r="P171" s="84" t="n">
        <x:f>N171*O171</x:f>
        <x:v>0.00001521189383450303</x:v>
      </x:c>
      <x:c r="Q171" s="84" t="n">
        <x:f>$C$14+(($H$9-$C$14)/$C$13)*L171</x:f>
        <x:v>-4.880677554294236</x:v>
      </x:c>
      <x:c r="R171" s="84" t="n">
        <x:f>NORM.S.DIST(Q171,FALSE)*NORM.S.DIST(($H$11-$H$7*Q171)/SQRT(1-$H$7^2),TRUE)</x:f>
        <x:v>0.0000026806611235409196</x:v>
      </x:c>
      <x:c r="S171" s="84" t="n">
        <x:f>N171*R171</x:f>
        <x:v>0.000010722644494163678</x:v>
      </x:c>
    </x:row>
    <x:row r="172">
      <x:c r="L172" s="64" t="n">
        <x:f>166</x:f>
        <x:v>166</x:v>
      </x:c>
      <x:c r="M172" s="84" t="n">
        <x:f>$C$14+(($H$8-$C$14)/$C$13)*L172</x:f>
        <x:v>-4.789147569774807</x:v>
      </x:c>
      <x:c r="N172" s="84" t="n">
        <x:f>IF(OR(L172=0,L172=$C$13),1,IF(MOD(L172,2)=0,2,4))</x:f>
        <x:v>2</x:v>
      </x:c>
      <x:c r="O172" s="84" t="n">
        <x:f>NORM.S.DIST(M172,FALSE)*NORM.S.DIST(($H$10-$H$7*M172)/SQRT(1-$H$7^2),TRUE)</x:f>
        <x:v>0.000004172870964027609</x:v>
      </x:c>
      <x:c r="P172" s="84" t="n">
        <x:f>N172*O172</x:f>
        <x:v>0.000008345741928055217</x:v>
      </x:c>
      <x:c r="Q172" s="84" t="n">
        <x:f>$C$14+(($H$9-$C$14)/$C$13)*L172</x:f>
        <x:v>-4.861772569774806</x:v>
      </x:c>
      <x:c r="R172" s="84" t="n">
        <x:f>NORM.S.DIST(Q172,FALSE)*NORM.S.DIST(($H$11-$H$7*Q172)/SQRT(1-$H$7^2),TRUE)</x:f>
        <x:v>0.000002939247826768493</x:v>
      </x:c>
      <x:c r="S172" s="84" t="n">
        <x:f>N172*R172</x:f>
        <x:v>0.000005878495653536986</x:v>
      </x:c>
    </x:row>
    <x:row r="173">
      <x:c r="L173" s="64" t="n">
        <x:f>167</x:f>
        <x:v>167</x:v>
      </x:c>
      <x:c r="M173" s="84" t="n">
        <x:f>$C$14+(($H$8-$C$14)/$C$13)*L173</x:f>
        <x:v>-4.769805085255378</x:v>
      </x:c>
      <x:c r="N173" s="84" t="n">
        <x:f>IF(OR(L173=0,L173=$C$13),1,IF(MOD(L173,2)=0,2,4))</x:f>
        <x:v>4</x:v>
      </x:c>
      <x:c r="O173" s="84" t="n">
        <x:f>NORM.S.DIST(M173,FALSE)*NORM.S.DIST(($H$10-$H$7*M173)/SQRT(1-$H$7^2),TRUE)</x:f>
        <x:v>0.00000457703391986816</x:v>
      </x:c>
      <x:c r="P173" s="84" t="n">
        <x:f>N173*O173</x:f>
        <x:v>0.00001830813567947264</x:v>
      </x:c>
      <x:c r="Q173" s="84" t="n">
        <x:f>$C$14+(($H$9-$C$14)/$C$13)*L173</x:f>
        <x:v>-4.8428675852553775</x:v>
      </x:c>
      <x:c r="R173" s="84" t="n">
        <x:f>NORM.S.DIST(Q173,FALSE)*NORM.S.DIST(($H$11-$H$7*Q173)/SQRT(1-$H$7^2),TRUE)</x:f>
        <x:v>0.000003221627117927929</x:v>
      </x:c>
      <x:c r="S173" s="84" t="n">
        <x:f>N173*R173</x:f>
        <x:v>0.000012886508471711716</x:v>
      </x:c>
    </x:row>
    <x:row r="174">
      <x:c r="L174" s="64" t="n">
        <x:f>168</x:f>
        <x:v>168</x:v>
      </x:c>
      <x:c r="M174" s="84" t="n">
        <x:f>$C$14+(($H$8-$C$14)/$C$13)*L174</x:f>
        <x:v>-4.750462600735949</x:v>
      </x:c>
      <x:c r="N174" s="84" t="n">
        <x:f>IF(OR(L174=0,L174=$C$13),1,IF(MOD(L174,2)=0,2,4))</x:f>
        <x:v>2</x:v>
      </x:c>
      <x:c r="O174" s="84" t="n">
        <x:f>NORM.S.DIST(M174,FALSE)*NORM.S.DIST(($H$10-$H$7*M174)/SQRT(1-$H$7^2),TRUE)</x:f>
        <x:v>0.000005018464089661878</x:v>
      </x:c>
      <x:c r="P174" s="84" t="n">
        <x:f>N174*O174</x:f>
        <x:v>0.000010036928179323757</x:v>
      </x:c>
      <x:c r="Q174" s="84" t="n">
        <x:f>$C$14+(($H$9-$C$14)/$C$13)*L174</x:f>
        <x:v>-4.823962600735948</x:v>
      </x:c>
      <x:c r="R174" s="84" t="n">
        <x:f>NORM.S.DIST(Q174,FALSE)*NORM.S.DIST(($H$11-$H$7*Q174)/SQRT(1-$H$7^2),TRUE)</x:f>
        <x:v>0.0000035298732811080613</x:v>
      </x:c>
      <x:c r="S174" s="84" t="n">
        <x:f>N174*R174</x:f>
        <x:v>0.000007059746562216123</x:v>
      </x:c>
    </x:row>
    <x:row r="175">
      <x:c r="L175" s="64" t="n">
        <x:f>169</x:f>
        <x:v>169</x:v>
      </x:c>
      <x:c r="M175" s="84" t="n">
        <x:f>$C$14+(($H$8-$C$14)/$C$13)*L175</x:f>
        <x:v>-4.73112011621652</x:v>
      </x:c>
      <x:c r="N175" s="84" t="n">
        <x:f>IF(OR(L175=0,L175=$C$13),1,IF(MOD(L175,2)=0,2,4))</x:f>
        <x:v>4</x:v>
      </x:c>
      <x:c r="O175" s="84" t="n">
        <x:f>NORM.S.DIST(M175,FALSE)*NORM.S.DIST(($H$10-$H$7*M175)/SQRT(1-$H$7^2),TRUE)</x:f>
        <x:v>0.000005500409517605044</x:v>
      </x:c>
      <x:c r="P175" s="84" t="n">
        <x:f>N175*O175</x:f>
        <x:v>0.000022001638070420175</x:v>
      </x:c>
      <x:c r="Q175" s="84" t="n">
        <x:f>$C$14+(($H$9-$C$14)/$C$13)*L175</x:f>
        <x:v>-4.805057616216519</x:v>
      </x:c>
      <x:c r="R175" s="84" t="n">
        <x:f>NORM.S.DIST(Q175,FALSE)*NORM.S.DIST(($H$11-$H$7*Q175)/SQRT(1-$H$7^2),TRUE)</x:f>
        <x:v>0.000003866230415475383</x:v>
      </x:c>
      <x:c r="S175" s="84" t="n">
        <x:f>N175*R175</x:f>
        <x:v>0.000015464921661901532</x:v>
      </x:c>
    </x:row>
    <x:row r="176">
      <x:c r="L176" s="64" t="n">
        <x:f>170</x:f>
        <x:v>170</x:v>
      </x:c>
      <x:c r="M176" s="84" t="n">
        <x:f>$C$14+(($H$8-$C$14)/$C$13)*L176</x:f>
        <x:v>-4.711777631697091</x:v>
      </x:c>
      <x:c r="N176" s="84" t="n">
        <x:f>IF(OR(L176=0,L176=$C$13),1,IF(MOD(L176,2)=0,2,4))</x:f>
        <x:v>2</x:v>
      </x:c>
      <x:c r="O176" s="84" t="n">
        <x:f>NORM.S.DIST(M176,FALSE)*NORM.S.DIST(($H$10-$H$7*M176)/SQRT(1-$H$7^2),TRUE)</x:f>
        <x:v>0.000006026383187491761</x:v>
      </x:c>
      <x:c r="P176" s="84" t="n">
        <x:f>N176*O176</x:f>
        <x:v>0.000012052766374983522</x:v>
      </x:c>
      <x:c r="Q176" s="84" t="n">
        <x:f>$C$14+(($H$9-$C$14)/$C$13)*L176</x:f>
        <x:v>-4.786152631697091</x:v>
      </x:c>
      <x:c r="R176" s="84" t="n">
        <x:f>NORM.S.DIST(Q176,FALSE)*NORM.S.DIST(($H$11-$H$7*Q176)/SQRT(1-$H$7^2),TRUE)</x:f>
        <x:v>0.000004233125322213958</x:v>
      </x:c>
      <x:c r="S176" s="84" t="n">
        <x:f>N176*R176</x:f>
        <x:v>0.000008466250644427917</x:v>
      </x:c>
    </x:row>
    <x:row r="177">
      <x:c r="L177" s="64" t="n">
        <x:f>171</x:f>
        <x:v>171</x:v>
      </x:c>
      <x:c r="M177" s="84" t="n">
        <x:f>$C$14+(($H$8-$C$14)/$C$13)*L177</x:f>
        <x:v>-4.692435147177662</x:v>
      </x:c>
      <x:c r="N177" s="84" t="n">
        <x:f>IF(OR(L177=0,L177=$C$13),1,IF(MOD(L177,2)=0,2,4))</x:f>
        <x:v>4</x:v>
      </x:c>
      <x:c r="O177" s="84" t="n">
        <x:f>NORM.S.DIST(M177,FALSE)*NORM.S.DIST(($H$10-$H$7*M177)/SQRT(1-$H$7^2),TRUE)</x:f>
        <x:v>0.000006600182958092945</x:v>
      </x:c>
      <x:c r="P177" s="84" t="n">
        <x:f>N177*O177</x:f>
        <x:v>0.00002640073183237178</x:v>
      </x:c>
      <x:c r="Q177" s="84" t="n">
        <x:f>$C$14+(($H$9-$C$14)/$C$13)*L177</x:f>
        <x:v>-4.767247647177662</x:v>
      </x:c>
      <x:c r="R177" s="84" t="n">
        <x:f>NORM.S.DIST(Q177,FALSE)*NORM.S.DIST(($H$11-$H$7*Q177)/SQRT(1-$H$7^2),TRUE)</x:f>
        <x:v>0.000004633181279942531</x:v>
      </x:c>
      <x:c r="S177" s="84" t="n">
        <x:f>N177*R177</x:f>
        <x:v>0.000018532725119770125</x:v>
      </x:c>
    </x:row>
    <x:row r="178">
      <x:c r="L178" s="64" t="n">
        <x:f>172</x:f>
        <x:v>172</x:v>
      </x:c>
      <x:c r="M178" s="84" t="n">
        <x:f>$C$14+(($H$8-$C$14)/$C$13)*L178</x:f>
        <x:v>-4.673092662658233</x:v>
      </x:c>
      <x:c r="N178" s="84" t="n">
        <x:f>IF(OR(L178=0,L178=$C$13),1,IF(MOD(L178,2)=0,2,4))</x:f>
        <x:v>2</x:v>
      </x:c>
      <x:c r="O178" s="84" t="n">
        <x:f>NORM.S.DIST(M178,FALSE)*NORM.S.DIST(($H$10-$H$7*M178)/SQRT(1-$H$7^2),TRUE)</x:f>
        <x:v>0.0000072259128507012835</x:v>
      </x:c>
      <x:c r="P178" s="84" t="n">
        <x:f>N178*O178</x:f>
        <x:v>0.000014451825701402567</x:v>
      </x:c>
      <x:c r="Q178" s="84" t="n">
        <x:f>$C$14+(($H$9-$C$14)/$C$13)*L178</x:f>
        <x:v>-4.748342662658233</x:v>
      </x:c>
      <x:c r="R178" s="84" t="n">
        <x:f>NORM.S.DIST(Q178,FALSE)*NORM.S.DIST(($H$11-$H$7*Q178)/SQRT(1-$H$7^2),TRUE)</x:f>
        <x:v>0.000005069232762322704</x:v>
      </x:c>
      <x:c r="S178" s="84" t="n">
        <x:f>N178*R178</x:f>
        <x:v>0.000010138465524645408</x:v>
      </x:c>
    </x:row>
    <x:row r="179">
      <x:c r="L179" s="64" t="n">
        <x:f>173</x:f>
        <x:v>173</x:v>
      </x:c>
      <x:c r="M179" s="84" t="n">
        <x:f>$C$14+(($H$8-$C$14)/$C$13)*L179</x:f>
        <x:v>-4.653750178138804</x:v>
      </x:c>
      <x:c r="N179" s="84" t="n">
        <x:f>IF(OR(L179=0,L179=$C$13),1,IF(MOD(L179,2)=0,2,4))</x:f>
        <x:v>4</x:v>
      </x:c>
      <x:c r="O179" s="84" t="n">
        <x:f>NORM.S.DIST(M179,FALSE)*NORM.S.DIST(($H$10-$H$7*M179)/SQRT(1-$H$7^2),TRUE)</x:f>
        <x:v>0.000007908005768090083</x:v>
      </x:c>
      <x:c r="P179" s="84" t="n">
        <x:f>N179*O179</x:f>
        <x:v>0.00003163202307236033</x:v>
      </x:c>
      <x:c r="Q179" s="84" t="n">
        <x:f>$C$14+(($H$9-$C$14)/$C$13)*L179</x:f>
        <x:v>-4.729437678138805</x:v>
      </x:c>
      <x:c r="R179" s="84" t="n">
        <x:f>NORM.S.DIST(Q179,FALSE)*NORM.S.DIST(($H$11-$H$7*Q179)/SQRT(1-$H$7^2),TRUE)</x:f>
        <x:v>0.000005544341154208638</x:v>
      </x:c>
      <x:c r="S179" s="84" t="n">
        <x:f>N179*R179</x:f>
        <x:v>0.000022177364616834553</x:v>
      </x:c>
    </x:row>
    <x:row r="180">
      <x:c r="L180" s="64" t="n">
        <x:f>174</x:f>
        <x:v>174</x:v>
      </x:c>
      <x:c r="M180" s="84" t="n">
        <x:f>$C$14+(($H$8-$C$14)/$C$13)*L180</x:f>
        <x:v>-4.634407693619375</x:v>
      </x:c>
      <x:c r="N180" s="84" t="n">
        <x:f>IF(OR(L180=0,L180=$C$13),1,IF(MOD(L180,2)=0,2,4))</x:f>
        <x:v>2</x:v>
      </x:c>
      <x:c r="O180" s="84" t="n">
        <x:f>NORM.S.DIST(M180,FALSE)*NORM.S.DIST(($H$10-$H$7*M180)/SQRT(1-$H$7^2),TRUE)</x:f>
        <x:v>0.00000865124772776889</x:v>
      </x:c>
      <x:c r="P180" s="84" t="n">
        <x:f>N180*O180</x:f>
        <x:v>0.00001730249545553778</x:v>
      </x:c>
      <x:c r="Q180" s="84" t="n">
        <x:f>$C$14+(($H$9-$C$14)/$C$13)*L180</x:f>
        <x:v>-4.710532693619376</x:v>
      </x:c>
      <x:c r="R180" s="84" t="n">
        <x:f>NORM.S.DIST(Q180,FALSE)*NORM.S.DIST(($H$11-$H$7*Q180)/SQRT(1-$H$7^2),TRUE)</x:f>
        <x:v>0.000006061811525407707</x:v>
      </x:c>
      <x:c r="S180" s="84" t="n">
        <x:f>N180*R180</x:f>
        <x:v>0.000012123623050815414</x:v>
      </x:c>
    </x:row>
    <x:row r="181">
      <x:c r="L181" s="64" t="n">
        <x:f>175</x:f>
        <x:v>175</x:v>
      </x:c>
      <x:c r="M181" s="84" t="n">
        <x:f>$C$14+(($H$8-$C$14)/$C$13)*L181</x:f>
        <x:v>-4.615065209099946</x:v>
      </x:c>
      <x:c r="N181" s="84" t="n">
        <x:f>IF(OR(L181=0,L181=$C$13),1,IF(MOD(L181,2)=0,2,4))</x:f>
        <x:v>4</x:v>
      </x:c>
      <x:c r="O181" s="84" t="n">
        <x:f>NORM.S.DIST(M181,FALSE)*NORM.S.DIST(($H$10-$H$7*M181)/SQRT(1-$H$7^2),TRUE)</x:f>
        <x:v>0.000009460803696139856</x:v>
      </x:c>
      <x:c r="P181" s="84" t="n">
        <x:f>N181*O181</x:f>
        <x:v>0.000037843214784559424</x:v>
      </x:c>
      <x:c r="Q181" s="84" t="n">
        <x:f>$C$14+(($H$9-$C$14)/$C$13)*L181</x:f>
        <x:v>-4.691627709099946</x:v>
      </x:c>
      <x:c r="R181" s="84" t="n">
        <x:f>NORM.S.DIST(Q181,FALSE)*NORM.S.DIST(($H$11-$H$7*Q181)/SQRT(1-$H$7^2),TRUE)</x:f>
        <x:v>0.000006625210523918995</x:v>
      </x:c>
      <x:c r="S181" s="84" t="n">
        <x:f>N181*R181</x:f>
        <x:v>0.00002650084209567598</x:v>
      </x:c>
    </x:row>
    <x:row r="182">
      <x:c r="L182" s="64" t="n">
        <x:f>176</x:f>
        <x:v>176</x:v>
      </x:c>
      <x:c r="M182" s="84" t="n">
        <x:f>$C$14+(($H$8-$C$14)/$C$13)*L182</x:f>
        <x:v>-4.595722724580517</x:v>
      </x:c>
      <x:c r="N182" s="84" t="n">
        <x:f>IF(OR(L182=0,L182=$C$13),1,IF(MOD(L182,2)=0,2,4))</x:f>
        <x:v>2</x:v>
      </x:c>
      <x:c r="O182" s="84" t="n">
        <x:f>NORM.S.DIST(M182,FALSE)*NORM.S.DIST(($H$10-$H$7*M182)/SQRT(1-$H$7^2),TRUE)</x:f>
        <x:v>0.0000103422451139614</x:v>
      </x:c>
      <x:c r="P182" s="84" t="n">
        <x:f>N182*O182</x:f>
        <x:v>0.0000206844902279228</x:v>
      </x:c>
      <x:c r="Q182" s="84" t="n">
        <x:f>$C$14+(($H$9-$C$14)/$C$13)*L182</x:f>
        <x:v>-4.672722724580518</x:v>
      </x:c>
      <x:c r="R182" s="84" t="n">
        <x:f>NORM.S.DIST(Q182,FALSE)*NORM.S.DIST(($H$11-$H$7*Q182)/SQRT(1-$H$7^2),TRUE)</x:f>
        <x:v>0.00000723838545339253</x:v>
      </x:c>
      <x:c r="S182" s="84" t="n">
        <x:f>N182*R182</x:f>
        <x:v>0.00001447677090678506</x:v>
      </x:c>
    </x:row>
    <x:row r="183">
      <x:c r="L183" s="64" t="n">
        <x:f>177</x:f>
        <x:v>177</x:v>
      </x:c>
      <x:c r="M183" s="84" t="n">
        <x:f>$C$14+(($H$8-$C$14)/$C$13)*L183</x:f>
        <x:v>-4.576380240061089</x:v>
      </x:c>
      <x:c r="N183" s="84" t="n">
        <x:f>IF(OR(L183=0,L183=$C$13),1,IF(MOD(L183,2)=0,2,4))</x:f>
        <x:v>4</x:v>
      </x:c>
      <x:c r="O183" s="84" t="n">
        <x:f>NORM.S.DIST(M183,FALSE)*NORM.S.DIST(($H$10-$H$7*M183)/SQRT(1-$H$7^2),TRUE)</x:f>
        <x:v>0.000011301579207403216</x:v>
      </x:c>
      <x:c r="P183" s="84" t="n">
        <x:f>N183*O183</x:f>
        <x:v>0.000045206316829612866</x:v>
      </x:c>
      <x:c r="Q183" s="84" t="n">
        <x:f>$C$14+(($H$9-$C$14)/$C$13)*L183</x:f>
        <x:v>-4.653817740061088</x:v>
      </x:c>
      <x:c r="R183" s="84" t="n">
        <x:f>NORM.S.DIST(Q183,FALSE)*NORM.S.DIST(($H$11-$H$7*Q183)/SQRT(1-$H$7^2),TRUE)</x:f>
        <x:v>0.00000790548460250334</x:v>
      </x:c>
      <x:c r="S183" s="84" t="n">
        <x:f>N183*R183</x:f>
        <x:v>0.00003162193841001336</x:v>
      </x:c>
    </x:row>
    <x:row r="184">
      <x:c r="L184" s="64" t="n">
        <x:f>178</x:f>
        <x:v>178</x:v>
      </x:c>
      <x:c r="M184" s="84" t="n">
        <x:f>$C$14+(($H$8-$C$14)/$C$13)*L184</x:f>
        <x:v>-4.55703775554166</x:v>
      </x:c>
      <x:c r="N184" s="84" t="n">
        <x:f>IF(OR(L184=0,L184=$C$13),1,IF(MOD(L184,2)=0,2,4))</x:f>
        <x:v>2</x:v>
      </x:c>
      <x:c r="O184" s="84" t="n">
        <x:f>NORM.S.DIST(M184,FALSE)*NORM.S.DIST(($H$10-$H$7*M184)/SQRT(1-$H$7^2),TRUE)</x:f>
        <x:v>0.000012345280182923479</x:v>
      </x:c>
      <x:c r="P184" s="84" t="n">
        <x:f>N184*O184</x:f>
        <x:v>0.000024690560365846958</x:v>
      </x:c>
      <x:c r="Q184" s="84" t="n">
        <x:f>$C$14+(($H$9-$C$14)/$C$13)*L184</x:f>
        <x:v>-4.634912755541659</x:v>
      </x:c>
      <x:c r="R184" s="84" t="n">
        <x:f>NORM.S.DIST(Q184,FALSE)*NORM.S.DIST(($H$11-$H$7*Q184)/SQRT(1-$H$7^2),TRUE)</x:f>
        <x:v>0.000008630978896956411</x:v>
      </x:c>
      <x:c r="S184" s="84" t="n">
        <x:f>N184*R184</x:f>
        <x:v>0.000017261957793912822</x:v>
      </x:c>
    </x:row>
    <x:row r="185">
      <x:c r="L185" s="64" t="n">
        <x:f>179</x:f>
        <x:v>179</x:v>
      </x:c>
      <x:c r="M185" s="84" t="n">
        <x:f>$C$14+(($H$8-$C$14)/$C$13)*L185</x:f>
        <x:v>-4.537695271022231</x:v>
      </x:c>
      <x:c r="N185" s="84" t="n">
        <x:f>IF(OR(L185=0,L185=$C$13),1,IF(MOD(L185,2)=0,2,4))</x:f>
        <x:v>4</x:v>
      </x:c>
      <x:c r="O185" s="84" t="n">
        <x:f>NORM.S.DIST(M185,FALSE)*NORM.S.DIST(($H$10-$H$7*M185)/SQRT(1-$H$7^2),TRUE)</x:f>
        <x:v>0.000013480322408206179</x:v>
      </x:c>
      <x:c r="P185" s="84" t="n">
        <x:f>N185*O185</x:f>
        <x:v>0.000053921289632824717</x:v>
      </x:c>
      <x:c r="Q185" s="84" t="n">
        <x:f>$C$14+(($H$9-$C$14)/$C$13)*L185</x:f>
        <x:v>-4.616007771022231</x:v>
      </x:c>
      <x:c r="R185" s="84" t="n">
        <x:f>NORM.S.DIST(Q185,FALSE)*NORM.S.DIST(($H$11-$H$7*Q185)/SQRT(1-$H$7^2),TRUE)</x:f>
        <x:v>0.000009419684947932095</x:v>
      </x:c>
      <x:c r="S185" s="84" t="n">
        <x:f>N185*R185</x:f>
        <x:v>0.00003767873979172838</x:v>
      </x:c>
    </x:row>
    <x:row r="186">
      <x:c r="L186" s="64" t="n">
        <x:f>180</x:f>
        <x:v>180</x:v>
      </x:c>
      <x:c r="M186" s="84" t="n">
        <x:f>$C$14+(($H$8-$C$14)/$C$13)*L186</x:f>
        <x:v>-4.518352786502802</x:v>
      </x:c>
      <x:c r="N186" s="84" t="n">
        <x:f>IF(OR(L186=0,L186=$C$13),1,IF(MOD(L186,2)=0,2,4))</x:f>
        <x:v>2</x:v>
      </x:c>
      <x:c r="O186" s="84" t="n">
        <x:f>NORM.S.DIST(M186,FALSE)*NORM.S.DIST(($H$10-$H$7*M186)/SQRT(1-$H$7^2),TRUE)</x:f>
        <x:v>0.000014714215685458148</x:v>
      </x:c>
      <x:c r="P186" s="84" t="n">
        <x:f>N186*O186</x:f>
        <x:v>0.000029428431370916296</x:v>
      </x:c>
      <x:c r="Q186" s="84" t="n">
        <x:f>$C$14+(($H$9-$C$14)/$C$13)*L186</x:f>
        <x:v>-4.597102786502802</x:v>
      </x:c>
      <x:c r="R186" s="84" t="n">
        <x:f>NORM.S.DIST(Q186,FALSE)*NORM.S.DIST(($H$11-$H$7*Q186)/SQRT(1-$H$7^2),TRUE)</x:f>
        <x:v>0.000010276789573935787</x:v>
      </x:c>
      <x:c r="S186" s="84" t="n">
        <x:f>N186*R186</x:f>
        <x:v>0.000020553579147871575</x:v>
      </x:c>
    </x:row>
    <x:row r="187">
      <x:c r="L187" s="64" t="n">
        <x:f>181</x:f>
        <x:v>181</x:v>
      </x:c>
      <x:c r="M187" s="84" t="n">
        <x:f>$C$14+(($H$8-$C$14)/$C$13)*L187</x:f>
        <x:v>-4.499010301983374</x:v>
      </x:c>
      <x:c r="N187" s="84" t="n">
        <x:f>IF(OR(L187=0,L187=$C$13),1,IF(MOD(L187,2)=0,2,4))</x:f>
        <x:v>4</x:v>
      </x:c>
      <x:c r="O187" s="84" t="n">
        <x:f>NORM.S.DIST(M187,FALSE)*NORM.S.DIST(($H$10-$H$7*M187)/SQRT(1-$H$7^2),TRUE)</x:f>
        <x:v>0.000016055042727468178</x:v>
      </x:c>
      <x:c r="P187" s="84" t="n">
        <x:f>N187*O187</x:f>
        <x:v>0.00006422017090987271</x:v>
      </x:c>
      <x:c r="Q187" s="84" t="n">
        <x:f>$C$14+(($H$9-$C$14)/$C$13)*L187</x:f>
        <x:v>-4.578197801983373</x:v>
      </x:c>
      <x:c r="R187" s="84" t="n">
        <x:f>NORM.S.DIST(Q187,FALSE)*NORM.S.DIST(($H$11-$H$7*Q187)/SQRT(1-$H$7^2),TRUE)</x:f>
        <x:v>0.000011207875876233327</x:v>
      </x:c>
      <x:c r="S187" s="84" t="n">
        <x:f>N187*R187</x:f>
        <x:v>0.00004483150350493331</x:v>
      </x:c>
    </x:row>
    <x:row r="188">
      <x:c r="L188" s="64" t="n">
        <x:f>182</x:f>
        <x:v>182</x:v>
      </x:c>
      <x:c r="M188" s="84" t="n">
        <x:f>$C$14+(($H$8-$C$14)/$C$13)*L188</x:f>
        <x:v>-4.479667817463945</x:v>
      </x:c>
      <x:c r="N188" s="84" t="n">
        <x:f>IF(OR(L188=0,L188=$C$13),1,IF(MOD(L188,2)=0,2,4))</x:f>
        <x:v>2</x:v>
      </x:c>
      <x:c r="O188" s="84" t="n">
        <x:f>NORM.S.DIST(M188,FALSE)*NORM.S.DIST(($H$10-$H$7*M188)/SQRT(1-$H$7^2),TRUE)</x:f>
        <x:v>0.000017511498950967405</x:v>
      </x:c>
      <x:c r="P188" s="84" t="n">
        <x:f>N188*O188</x:f>
        <x:v>0.00003502299790193481</x:v>
      </x:c>
      <x:c r="Q188" s="84" t="n">
        <x:f>$C$14+(($H$9-$C$14)/$C$13)*L188</x:f>
        <x:v>-4.559292817463945</x:v>
      </x:c>
      <x:c r="R188" s="84" t="n">
        <x:f>NORM.S.DIST(Q188,FALSE)*NORM.S.DIST(($H$11-$H$7*Q188)/SQRT(1-$H$7^2),TRUE)</x:f>
        <x:v>0.000012218950951322543</x:v>
      </x:c>
      <x:c r="S188" s="84" t="n">
        <x:f>N188*R188</x:f>
        <x:v>0.000024437901902645086</x:v>
      </x:c>
    </x:row>
    <x:row r="189">
      <x:c r="L189" s="64" t="n">
        <x:f>183</x:f>
        <x:v>183</x:v>
      </x:c>
      <x:c r="M189" s="84" t="n">
        <x:f>$C$14+(($H$8-$C$14)/$C$13)*L189</x:f>
        <x:v>-4.460325332944516</x:v>
      </x:c>
      <x:c r="N189" s="84" t="n">
        <x:f>IF(OR(L189=0,L189=$C$13),1,IF(MOD(L189,2)=0,2,4))</x:f>
        <x:v>4</x:v>
      </x:c>
      <x:c r="O189" s="84" t="n">
        <x:f>NORM.S.DIST(M189,FALSE)*NORM.S.DIST(($H$10-$H$7*M189)/SQRT(1-$H$7^2),TRUE)</x:f>
        <x:v>0.000019092934705987797</x:v>
      </x:c>
      <x:c r="P189" s="84" t="n">
        <x:f>N189*O189</x:f>
        <x:v>0.00007637173882395119</x:v>
      </x:c>
      <x:c r="Q189" s="84" t="n">
        <x:f>$C$14+(($H$9-$C$14)/$C$13)*L189</x:f>
        <x:v>-4.540387832944516</x:v>
      </x:c>
      <x:c r="R189" s="84" t="n">
        <x:f>NORM.S.DIST(Q189,FALSE)*NORM.S.DIST(($H$11-$H$7*Q189)/SQRT(1-$H$7^2),TRUE)</x:f>
        <x:v>0.000013316475327210295</x:v>
      </x:c>
      <x:c r="S189" s="84" t="n">
        <x:f>N189*R189</x:f>
        <x:v>0.00005326590130884118</x:v>
      </x:c>
    </x:row>
    <x:row r="190">
      <x:c r="L190" s="64" t="n">
        <x:f>184</x:f>
        <x:v>184</x:v>
      </x:c>
      <x:c r="M190" s="84" t="n">
        <x:f>$C$14+(($H$8-$C$14)/$C$13)*L190</x:f>
        <x:v>-4.440982848425087</x:v>
      </x:c>
      <x:c r="N190" s="84" t="n">
        <x:f>IF(OR(L190=0,L190=$C$13),1,IF(MOD(L190,2)=0,2,4))</x:f>
        <x:v>2</x:v>
      </x:c>
      <x:c r="O190" s="84" t="n">
        <x:f>NORM.S.DIST(M190,FALSE)*NORM.S.DIST(($H$10-$H$7*M190)/SQRT(1-$H$7^2),TRUE)</x:f>
        <x:v>0.000020809400064082055</x:v>
      </x:c>
      <x:c r="P190" s="84" t="n">
        <x:f>N190*O190</x:f>
        <x:v>0.00004161880012816411</x:v>
      </x:c>
      <x:c r="Q190" s="84" t="n">
        <x:f>$C$14+(($H$9-$C$14)/$C$13)*L190</x:f>
        <x:v>-4.521482848425086</x:v>
      </x:c>
      <x:c r="R190" s="84" t="n">
        <x:f>NORM.S.DIST(Q190,FALSE)*NORM.S.DIST(($H$11-$H$7*Q190)/SQRT(1-$H$7^2),TRUE)</x:f>
        <x:v>0.000014507394213622881</x:v>
      </x:c>
      <x:c r="S190" s="84" t="n">
        <x:f>N190*R190</x:f>
        <x:v>0.000029014788427245762</x:v>
      </x:c>
    </x:row>
    <x:row r="191">
      <x:c r="L191" s="64" t="n">
        <x:f>185</x:f>
        <x:v>185</x:v>
      </x:c>
      <x:c r="M191" s="84" t="n">
        <x:f>$C$14+(($H$8-$C$14)/$C$13)*L191</x:f>
        <x:v>-4.421640363905658</x:v>
      </x:c>
      <x:c r="N191" s="84" t="n">
        <x:f>IF(OR(L191=0,L191=$C$13),1,IF(MOD(L191,2)=0,2,4))</x:f>
        <x:v>4</x:v>
      </x:c>
      <x:c r="O191" s="84" t="n">
        <x:f>NORM.S.DIST(M191,FALSE)*NORM.S.DIST(($H$10-$H$7*M191)/SQRT(1-$H$7^2),TRUE)</x:f>
        <x:v>0.000022671692292427032</x:v>
      </x:c>
      <x:c r="P191" s="84" t="n">
        <x:f>N191*O191</x:f>
        <x:v>0.00009068676916970813</x:v>
      </x:c>
      <x:c r="Q191" s="84" t="n">
        <x:f>$C$14+(($H$9-$C$14)/$C$13)*L191</x:f>
        <x:v>-4.502577863905658</x:v>
      </x:c>
      <x:c r="R191" s="84" t="n">
        <x:f>NORM.S.DIST(Q191,FALSE)*NORM.S.DIST(($H$11-$H$7*Q191)/SQRT(1-$H$7^2),TRUE)</x:f>
        <x:v>0.000015799170659670466</x:v>
      </x:c>
      <x:c r="S191" s="84" t="n">
        <x:f>N191*R191</x:f>
        <x:v>0.00006319668263868186</x:v>
      </x:c>
    </x:row>
    <x:row r="192">
      <x:c r="L192" s="64" t="n">
        <x:f>186</x:f>
        <x:v>186</x:v>
      </x:c>
      <x:c r="M192" s="84" t="n">
        <x:f>$C$14+(($H$8-$C$14)/$C$13)*L192</x:f>
        <x:v>-4.402297879386229</x:v>
      </x:c>
      <x:c r="N192" s="84" t="n">
        <x:f>IF(OR(L192=0,L192=$C$13),1,IF(MOD(L192,2)=0,2,4))</x:f>
        <x:v>2</x:v>
      </x:c>
      <x:c r="O192" s="84" t="n">
        <x:f>NORM.S.DIST(M192,FALSE)*NORM.S.DIST(($H$10-$H$7*M192)/SQRT(1-$H$7^2),TRUE)</x:f>
        <x:v>0.000024691406144972818</x:v>
      </x:c>
      <x:c r="P192" s="84" t="n">
        <x:f>N192*O192</x:f>
        <x:v>0.000049382812289945636</x:v>
      </x:c>
      <x:c r="Q192" s="84" t="n">
        <x:f>$C$14+(($H$9-$C$14)/$C$13)*L192</x:f>
        <x:v>-4.483672879386228</x:v>
      </x:c>
      <x:c r="R192" s="84" t="n">
        <x:f>NORM.S.DIST(Q192,FALSE)*NORM.S.DIST(($H$11-$H$7*Q192)/SQRT(1-$H$7^2),TRUE)</x:f>
        <x:v>0.00001719982071590369</x:v>
      </x:c>
      <x:c r="S192" s="84" t="n">
        <x:f>N192*R192</x:f>
        <x:v>0.00003439964143180738</x:v>
      </x:c>
    </x:row>
    <x:row r="193">
      <x:c r="L193" s="64" t="n">
        <x:f>187</x:f>
        <x:v>187</x:v>
      </x:c>
      <x:c r="M193" s="84" t="n">
        <x:f>$C$14+(($H$8-$C$14)/$C$13)*L193</x:f>
        <x:v>-4.3829553948668</x:v>
      </x:c>
      <x:c r="N193" s="84" t="n">
        <x:f>IF(OR(L193=0,L193=$C$13),1,IF(MOD(L193,2)=0,2,4))</x:f>
        <x:v>4</x:v>
      </x:c>
      <x:c r="O193" s="84" t="n">
        <x:f>NORM.S.DIST(M193,FALSE)*NORM.S.DIST(($H$10-$H$7*M193)/SQRT(1-$H$7^2),TRUE)</x:f>
        <x:v>0.00002688098710590047</x:v>
      </x:c>
      <x:c r="P193" s="84" t="n">
        <x:f>N193*O193</x:f>
        <x:v>0.00010752394842360188</x:v>
      </x:c>
      <x:c r="Q193" s="84" t="n">
        <x:f>$C$14+(($H$9-$C$14)/$C$13)*L193</x:f>
        <x:v>-4.4647678948667995</x:v>
      </x:c>
      <x:c r="R193" s="84" t="n">
        <x:f>NORM.S.DIST(Q193,FALSE)*NORM.S.DIST(($H$11-$H$7*Q193)/SQRT(1-$H$7^2),TRUE)</x:f>
        <x:v>0.00001871795070113074</x:v>
      </x:c>
      <x:c r="S193" s="84" t="n">
        <x:f>N193*R193</x:f>
        <x:v>0.00007487180280452295</x:v>
      </x:c>
    </x:row>
    <x:row r="194">
      <x:c r="L194" s="64" t="n">
        <x:f>188</x:f>
        <x:v>188</x:v>
      </x:c>
      <x:c r="M194" s="84" t="n">
        <x:f>$C$14+(($H$8-$C$14)/$C$13)*L194</x:f>
        <x:v>-4.363612910347371</x:v>
      </x:c>
      <x:c r="N194" s="84" t="n">
        <x:f>IF(OR(L194=0,L194=$C$13),1,IF(MOD(L194,2)=0,2,4))</x:f>
        <x:v>2</x:v>
      </x:c>
      <x:c r="O194" s="84" t="n">
        <x:f>NORM.S.DIST(M194,FALSE)*NORM.S.DIST(($H$10-$H$7*M194)/SQRT(1-$H$7^2),TRUE)</x:f>
        <x:v>0.00002925378772469592</x:v>
      </x:c>
      <x:c r="P194" s="84" t="n">
        <x:f>N194*O194</x:f>
        <x:v>0.00005850757544939184</x:v>
      </x:c>
      <x:c r="Q194" s="84" t="n">
        <x:f>$C$14+(($H$9-$C$14)/$C$13)*L194</x:f>
        <x:v>-4.445862910347371</x:v>
      </x:c>
      <x:c r="R194" s="84" t="n">
        <x:f>NORM.S.DIST(Q194,FALSE)*NORM.S.DIST(($H$11-$H$7*Q194)/SQRT(1-$H$7^2),TRUE)</x:f>
        <x:v>0.00002036279667780282</x:v>
      </x:c>
      <x:c r="S194" s="84" t="n">
        <x:f>N194*R194</x:f>
        <x:v>0.00004072559335560564</x:v>
      </x:c>
    </x:row>
    <x:row r="195">
      <x:c r="L195" s="64" t="n">
        <x:f>189</x:f>
        <x:v>189</x:v>
      </x:c>
      <x:c r="M195" s="84" t="n">
        <x:f>$C$14+(($H$8-$C$14)/$C$13)*L195</x:f>
        <x:v>-4.344270425827942</x:v>
      </x:c>
      <x:c r="N195" s="84" t="n">
        <x:f>IF(OR(L195=0,L195=$C$13),1,IF(MOD(L195,2)=0,2,4))</x:f>
        <x:v>4</x:v>
      </x:c>
      <x:c r="O195" s="84" t="n">
        <x:f>NORM.S.DIST(M195,FALSE)*NORM.S.DIST(($H$10-$H$7*M195)/SQRT(1-$H$7^2),TRUE)</x:f>
        <x:v>0.00003182412718611877</x:v>
      </x:c>
      <x:c r="P195" s="84" t="n">
        <x:f>N195*O195</x:f>
        <x:v>0.0001272965087444751</x:v>
      </x:c>
      <x:c r="Q195" s="84" t="n">
        <x:f>$C$14+(($H$9-$C$14)/$C$13)*L195</x:f>
        <x:v>-4.426957925827942</x:v>
      </x:c>
      <x:c r="R195" s="84" t="n">
        <x:f>NORM.S.DIST(Q195,FALSE)*NORM.S.DIST(($H$11-$H$7*Q195)/SQRT(1-$H$7^2),TRUE)</x:f>
        <x:v>0.000022144266243202225</x:v>
      </x:c>
      <x:c r="S195" s="84" t="n">
        <x:f>N195*R195</x:f>
        <x:v>0.0000885770649728089</x:v>
      </x:c>
    </x:row>
    <x:row r="196">
      <x:c r="L196" s="64" t="n">
        <x:f>190</x:f>
        <x:v>190</x:v>
      </x:c>
      <x:c r="M196" s="84" t="n">
        <x:f>$C$14+(($H$8-$C$14)/$C$13)*L196</x:f>
        <x:v>-4.324927941308513</x:v>
      </x:c>
      <x:c r="N196" s="84" t="n">
        <x:f>IF(OR(L196=0,L196=$C$13),1,IF(MOD(L196,2)=0,2,4))</x:f>
        <x:v>2</x:v>
      </x:c>
      <x:c r="O196" s="84" t="n">
        <x:f>NORM.S.DIST(M196,FALSE)*NORM.S.DIST(($H$10-$H$7*M196)/SQRT(1-$H$7^2),TRUE)</x:f>
        <x:v>0.000034607354262216665</x:v>
      </x:c>
      <x:c r="P196" s="84" t="n">
        <x:f>N196*O196</x:f>
        <x:v>0.00006921470852443333</x:v>
      </x:c>
      <x:c r="Q196" s="84" t="n">
        <x:f>$C$14+(($H$9-$C$14)/$C$13)*L196</x:f>
        <x:v>-4.408052941308513</x:v>
      </x:c>
      <x:c r="R196" s="84" t="n">
        <x:f>NORM.S.DIST(Q196,FALSE)*NORM.S.DIST(($H$11-$H$7*Q196)/SQRT(1-$H$7^2),TRUE)</x:f>
        <x:v>0.00002407298274707956</x:v>
      </x:c>
      <x:c r="S196" s="84" t="n">
        <x:f>N196*R196</x:f>
        <x:v>0.00004814596549415912</x:v>
      </x:c>
    </x:row>
    <x:row r="197">
      <x:c r="L197" s="64" t="n">
        <x:f>191</x:f>
        <x:v>191</x:v>
      </x:c>
      <x:c r="M197" s="84" t="n">
        <x:f>$C$14+(($H$8-$C$14)/$C$13)*L197</x:f>
        <x:v>-4.305585456789084</x:v>
      </x:c>
      <x:c r="N197" s="84" t="n">
        <x:f>IF(OR(L197=0,L197=$C$13),1,IF(MOD(L197,2)=0,2,4))</x:f>
        <x:v>4</x:v>
      </x:c>
      <x:c r="O197" s="84" t="n">
        <x:f>NORM.S.DIST(M197,FALSE)*NORM.S.DIST(($H$10-$H$7*M197)/SQRT(1-$H$7^2),TRUE)</x:f>
        <x:v>0.00003761991379729228</x:v>
      </x:c>
      <x:c r="P197" s="84" t="n">
        <x:f>N197*O197</x:f>
        <x:v>0.0001504796551891691</x:v>
      </x:c>
      <x:c r="Q197" s="84" t="n">
        <x:f>$C$14+(($H$9-$C$14)/$C$13)*L197</x:f>
        <x:v>-4.389147956789085</x:v>
      </x:c>
      <x:c r="R197" s="84" t="n">
        <x:f>NORM.S.DIST(Q197,FALSE)*NORM.S.DIST(($H$11-$H$7*Q197)/SQRT(1-$H$7^2),TRUE)</x:f>
        <x:v>0.000026160332049762933</x:v>
      </x:c>
      <x:c r="S197" s="84" t="n">
        <x:f>N197*R197</x:f>
        <x:v>0.00010464132819905173</x:v>
      </x:c>
    </x:row>
    <x:row r="198">
      <x:c r="L198" s="64" t="n">
        <x:f>192</x:f>
        <x:v>192</x:v>
      </x:c>
      <x:c r="M198" s="84" t="n">
        <x:f>$C$14+(($H$8-$C$14)/$C$13)*L198</x:f>
        <x:v>-4.286242972269656</x:v>
      </x:c>
      <x:c r="N198" s="84" t="n">
        <x:f>IF(OR(L198=0,L198=$C$13),1,IF(MOD(L198,2)=0,2,4))</x:f>
        <x:v>2</x:v>
      </x:c>
      <x:c r="O198" s="84" t="n">
        <x:f>NORM.S.DIST(M198,FALSE)*NORM.S.DIST(($H$10-$H$7*M198)/SQRT(1-$H$7^2),TRUE)</x:f>
        <x:v>0.00004087941688033994</x:v>
      </x:c>
      <x:c r="P198" s="84" t="n">
        <x:f>N198*O198</x:f>
        <x:v>0.00008175883376067988</x:v>
      </x:c>
      <x:c r="Q198" s="84" t="n">
        <x:f>$C$14+(($H$9-$C$14)/$C$13)*L198</x:f>
        <x:v>-4.370242972269655</x:v>
      </x:c>
      <x:c r="R198" s="84" t="n">
        <x:f>NORM.S.DIST(Q198,FALSE)*NORM.S.DIST(($H$11-$H$7*Q198)/SQRT(1-$H$7^2),TRUE)</x:f>
        <x:v>0.0000284185119380904</x:v>
      </x:c>
      <x:c r="S198" s="84" t="n">
        <x:f>N198*R198</x:f>
        <x:v>0.0000568370238761808</x:v>
      </x:c>
    </x:row>
    <x:row r="199">
      <x:c r="L199" s="64" t="n">
        <x:f>193</x:f>
        <x:v>193</x:v>
      </x:c>
      <x:c r="M199" s="84" t="n">
        <x:f>$C$14+(($H$8-$C$14)/$C$13)*L199</x:f>
        <x:v>-4.266900487750227</x:v>
      </x:c>
      <x:c r="N199" s="84" t="n">
        <x:f>IF(OR(L199=0,L199=$C$13),1,IF(MOD(L199,2)=0,2,4))</x:f>
        <x:v>4</x:v>
      </x:c>
      <x:c r="O199" s="84" t="n">
        <x:f>NORM.S.DIST(M199,FALSE)*NORM.S.DIST(($H$10-$H$7*M199)/SQRT(1-$H$7^2),TRUE)</x:f>
        <x:v>0.000044404714862914825</x:v>
      </x:c>
      <x:c r="P199" s="84" t="n">
        <x:f>N199*O199</x:f>
        <x:v>0.0001776188594516593</x:v>
      </x:c>
      <x:c r="Q199" s="84" t="n">
        <x:f>$C$14+(($H$9-$C$14)/$C$13)*L199</x:f>
        <x:v>-4.3513379877502265</x:v>
      </x:c>
      <x:c r="R199" s="84" t="n">
        <x:f>NORM.S.DIST(Q199,FALSE)*NORM.S.DIST(($H$11-$H$7*Q199)/SQRT(1-$H$7^2),TRUE)</x:f>
        <x:v>0.000030860584319782595</x:v>
      </x:c>
      <x:c r="S199" s="84" t="n">
        <x:f>N199*R199</x:f>
        <x:v>0.00012344233727913038</x:v>
      </x:c>
    </x:row>
    <x:row r="200">
      <x:c r="L200" s="64" t="n">
        <x:f>194</x:f>
        <x:v>194</x:v>
      </x:c>
      <x:c r="M200" s="84" t="n">
        <x:f>$C$14+(($H$8-$C$14)/$C$13)*L200</x:f>
        <x:v>-4.247558003230798</x:v>
      </x:c>
      <x:c r="N200" s="84" t="n">
        <x:f>IF(OR(L200=0,L200=$C$13),1,IF(MOD(L200,2)=0,2,4))</x:f>
        <x:v>2</x:v>
      </x:c>
      <x:c r="O200" s="84" t="n">
        <x:f>NORM.S.DIST(M200,FALSE)*NORM.S.DIST(($H$10-$H$7*M200)/SQRT(1-$H$7^2),TRUE)</x:f>
        <x:v>0.00004821597738364018</x:v>
      </x:c>
      <x:c r="P200" s="84" t="n">
        <x:f>N200*O200</x:f>
        <x:v>0.00009643195476728036</x:v>
      </x:c>
      <x:c r="Q200" s="84" t="n">
        <x:f>$C$14+(($H$9-$C$14)/$C$13)*L200</x:f>
        <x:v>-4.332433003230798</x:v>
      </x:c>
      <x:c r="R200" s="84" t="n">
        <x:f>NORM.S.DIST(Q200,FALSE)*NORM.S.DIST(($H$11-$H$7*Q200)/SQRT(1-$H$7^2),TRUE)</x:f>
        <x:v>0.00003350053032005756</x:v>
      </x:c>
      <x:c r="S200" s="84" t="n">
        <x:f>N200*R200</x:f>
        <x:v>0.00006700106064011513</x:v>
      </x:c>
    </x:row>
    <x:row r="201">
      <x:c r="L201" s="64" t="n">
        <x:f>195</x:f>
        <x:v>195</x:v>
      </x:c>
      <x:c r="M201" s="84" t="n">
        <x:f>$C$14+(($H$8-$C$14)/$C$13)*L201</x:f>
        <x:v>-4.228215518711369</x:v>
      </x:c>
      <x:c r="N201" s="84" t="n">
        <x:f>IF(OR(L201=0,L201=$C$13),1,IF(MOD(L201,2)=0,2,4))</x:f>
        <x:v>4</x:v>
      </x:c>
      <x:c r="O201" s="84" t="n">
        <x:f>NORM.S.DIST(M201,FALSE)*NORM.S.DIST(($H$10-$H$7*M201)/SQRT(1-$H$7^2),TRUE)</x:f>
        <x:v>0.00005233477456358667</x:v>
      </x:c>
      <x:c r="P201" s="84" t="n">
        <x:f>N201*O201</x:f>
        <x:v>0.00020933909825434667</x:v>
      </x:c>
      <x:c r="Q201" s="84" t="n">
        <x:f>$C$14+(($H$9-$C$14)/$C$13)*L201</x:f>
        <x:v>-4.313528018711368</x:v>
      </x:c>
      <x:c r="R201" s="84" t="n">
        <x:f>NORM.S.DIST(Q201,FALSE)*NORM.S.DIST(($H$11-$H$7*Q201)/SQRT(1-$H$7^2),TRUE)</x:f>
        <x:v>0.000036353308407371794</x:v>
      </x:c>
      <x:c r="S201" s="84" t="n">
        <x:f>N201*R201</x:f>
        <x:v>0.00014541323362948717</x:v>
      </x:c>
    </x:row>
    <x:row r="202">
      <x:c r="L202" s="64" t="n">
        <x:f>196</x:f>
        <x:v>196</x:v>
      </x:c>
      <x:c r="M202" s="84" t="n">
        <x:f>$C$14+(($H$8-$C$14)/$C$13)*L202</x:f>
        <x:v>-4.2088730341919405</x:v>
      </x:c>
      <x:c r="N202" s="84" t="n">
        <x:f>IF(OR(L202=0,L202=$C$13),1,IF(MOD(L202,2)=0,2,4))</x:f>
        <x:v>2</x:v>
      </x:c>
      <x:c r="O202" s="84" t="n">
        <x:f>NORM.S.DIST(M202,FALSE)*NORM.S.DIST(($H$10-$H$7*M202)/SQRT(1-$H$7^2),TRUE)</x:f>
        <x:v>0.000056784163539519</x:v>
      </x:c>
      <x:c r="P202" s="84" t="n">
        <x:f>N202*O202</x:f>
        <x:v>0.000113568327079038</x:v>
      </x:c>
      <x:c r="Q202" s="84" t="n">
        <x:f>$C$14+(($H$9-$C$14)/$C$13)*L202</x:f>
        <x:v>-4.29462303419194</x:v>
      </x:c>
      <x:c r="R202" s="84" t="n">
        <x:f>NORM.S.DIST(Q202,FALSE)*NORM.S.DIST(($H$11-$H$7*Q202)/SQRT(1-$H$7^2),TRUE)</x:f>
        <x:v>0.00003943491567813966</x:v>
      </x:c>
      <x:c r="S202" s="84" t="n">
        <x:f>N202*R202</x:f>
        <x:v>0.00007886983135627932</x:v>
      </x:c>
    </x:row>
    <x:row r="203">
      <x:c r="L203" s="64" t="n">
        <x:f>197</x:f>
        <x:v>197</x:v>
      </x:c>
      <x:c r="M203" s="84" t="n">
        <x:f>$C$14+(($H$8-$C$14)/$C$13)*L203</x:f>
        <x:v>-4.1895305496725115</x:v>
      </x:c>
      <x:c r="N203" s="84" t="n">
        <x:f>IF(OR(L203=0,L203=$C$13),1,IF(MOD(L203,2)=0,2,4))</x:f>
        <x:v>4</x:v>
      </x:c>
      <x:c r="O203" s="84" t="n">
        <x:f>NORM.S.DIST(M203,FALSE)*NORM.S.DIST(($H$10-$H$7*M203)/SQRT(1-$H$7^2),TRUE)</x:f>
        <x:v>0.00006158877950448722</x:v>
      </x:c>
      <x:c r="P203" s="84" t="n">
        <x:f>N203*O203</x:f>
        <x:v>0.0002463551180179489</x:v>
      </x:c>
      <x:c r="Q203" s="84" t="n">
        <x:f>$C$14+(($H$9-$C$14)/$C$13)*L203</x:f>
        <x:v>-4.275718049672511</x:v>
      </x:c>
      <x:c r="R203" s="84" t="n">
        <x:f>NORM.S.DIST(Q203,FALSE)*NORM.S.DIST(($H$11-$H$7*Q203)/SQRT(1-$H$7^2),TRUE)</x:f>
        <x:v>0.00004276245243310858</x:v>
      </x:c>
      <x:c r="S203" s="84" t="n">
        <x:f>N203*R203</x:f>
        <x:v>0.0001710498097324343</x:v>
      </x:c>
    </x:row>
    <x:row r="204">
      <x:c r="L204" s="64" t="n">
        <x:f>198</x:f>
        <x:v>198</x:v>
      </x:c>
      <x:c r="M204" s="84" t="n">
        <x:f>$C$14+(($H$8-$C$14)/$C$13)*L204</x:f>
        <x:v>-4.1701880651530825</x:v>
      </x:c>
      <x:c r="N204" s="84" t="n">
        <x:f>IF(OR(L204=0,L204=$C$13),1,IF(MOD(L204,2)=0,2,4))</x:f>
        <x:v>2</x:v>
      </x:c>
      <x:c r="O204" s="84" t="n">
        <x:f>NORM.S.DIST(M204,FALSE)*NORM.S.DIST(($H$10-$H$7*M204)/SQRT(1-$H$7^2),TRUE)</x:f>
        <x:v>0.00006677493142739053</x:v>
      </x:c>
      <x:c r="P204" s="84" t="n">
        <x:f>N204*O204</x:f>
        <x:v>0.00013354986285478107</x:v>
      </x:c>
      <x:c r="Q204" s="84" t="n">
        <x:f>$C$14+(($H$9-$C$14)/$C$13)*L204</x:f>
        <x:v>-4.256813065153082</x:v>
      </x:c>
      <x:c r="R204" s="84" t="n">
        <x:f>NORM.S.DIST(Q204,FALSE)*NORM.S.DIST(($H$11-$H$7*Q204)/SQRT(1-$H$7^2),TRUE)</x:f>
        <x:v>0.000046354190180727114</x:v>
      </x:c>
      <x:c r="S204" s="84" t="n">
        <x:f>N204*R204</x:f>
        <x:v>0.00009270838036145423</x:v>
      </x:c>
    </x:row>
    <x:row r="205">
      <x:c r="L205" s="64" t="n">
        <x:f>199</x:f>
        <x:v>199</x:v>
      </x:c>
      <x:c r="M205" s="84" t="n">
        <x:f>$C$14+(($H$8-$C$14)/$C$13)*L205</x:f>
        <x:v>-4.1508455806336535</x:v>
      </x:c>
      <x:c r="N205" s="84" t="n">
        <x:f>IF(OR(L205=0,L205=$C$13),1,IF(MOD(L205,2)=0,2,4))</x:f>
        <x:v>4</x:v>
      </x:c>
      <x:c r="O205" s="84" t="n">
        <x:f>NORM.S.DIST(M205,FALSE)*NORM.S.DIST(($H$10-$H$7*M205)/SQRT(1-$H$7^2),TRUE)</x:f>
        <x:v>0.00007237070262494943</x:v>
      </x:c>
      <x:c r="P205" s="84" t="n">
        <x:f>N205*O205</x:f>
        <x:v>0.00028948281049979773</x:v>
      </x:c>
      <x:c r="Q205" s="84" t="n">
        <x:f>$C$14+(($H$9-$C$14)/$C$13)*L205</x:f>
        <x:v>-4.2379080806336535</x:v>
      </x:c>
      <x:c r="R205" s="84" t="n">
        <x:f>NORM.S.DIST(Q205,FALSE)*NORM.S.DIST(($H$11-$H$7*Q205)/SQRT(1-$H$7^2),TRUE)</x:f>
        <x:v>0.00005022964320532229</x:v>
      </x:c>
      <x:c r="S205" s="84" t="n">
        <x:f>N205*R205</x:f>
        <x:v>0.00020091857282128917</x:v>
      </x:c>
    </x:row>
    <x:row r="206">
      <x:c r="L206" s="64" t="n">
        <x:f>200</x:f>
        <x:v>200</x:v>
      </x:c>
      <x:c r="M206" s="84" t="n">
        <x:f>$C$14+(($H$8-$C$14)/$C$13)*L206</x:f>
        <x:v>-4.1315030961142245</x:v>
      </x:c>
      <x:c r="N206" s="84" t="n">
        <x:f>IF(OR(L206=0,L206=$C$13),1,IF(MOD(L206,2)=0,2,4))</x:f>
        <x:v>2</x:v>
      </x:c>
      <x:c r="O206" s="84" t="n">
        <x:f>NORM.S.DIST(M206,FALSE)*NORM.S.DIST(($H$10-$H$7*M206)/SQRT(1-$H$7^2),TRUE)</x:f>
        <x:v>0.00007840605636090953</x:v>
      </x:c>
      <x:c r="P206" s="84" t="n">
        <x:f>N206*O206</x:f>
        <x:v>0.00015681211272181906</x:v>
      </x:c>
      <x:c r="Q206" s="84" t="n">
        <x:f>$C$14+(($H$9-$C$14)/$C$13)*L206</x:f>
        <x:v>-4.219003096114225</x:v>
      </x:c>
      <x:c r="R206" s="84" t="n">
        <x:f>NORM.S.DIST(Q206,FALSE)*NORM.S.DIST(($H$11-$H$7*Q206)/SQRT(1-$H$7^2),TRUE)</x:f>
        <x:v>0.00005440964384016477</x:v>
      </x:c>
      <x:c r="S206" s="84" t="n">
        <x:f>N206*R206</x:f>
        <x:v>0.00010881928768032954</x:v>
      </x:c>
    </x:row>
    <x:row r="207">
      <x:c r="L207" s="64" t="n">
        <x:f>201</x:f>
        <x:v>201</x:v>
      </x:c>
      <x:c r="M207" s="84" t="n">
        <x:f>$C$14+(($H$8-$C$14)/$C$13)*L207</x:f>
        <x:v>-4.1121606115947955</x:v>
      </x:c>
      <x:c r="N207" s="84" t="n">
        <x:f>IF(OR(L207=0,L207=$C$13),1,IF(MOD(L207,2)=0,2,4))</x:f>
        <x:v>4</x:v>
      </x:c>
      <x:c r="O207" s="84" t="n">
        <x:f>NORM.S.DIST(M207,FALSE)*NORM.S.DIST(($H$10-$H$7*M207)/SQRT(1-$H$7^2),TRUE)</x:f>
        <x:v>0.0000849129466482797</x:v>
      </x:c>
      <x:c r="P207" s="84" t="n">
        <x:f>N207*O207</x:f>
        <x:v>0.0003396517865931188</x:v>
      </x:c>
      <x:c r="Q207" s="84" t="n">
        <x:f>$C$14+(($H$9-$C$14)/$C$13)*L207</x:f>
        <x:v>-4.200098111594795</x:v>
      </x:c>
      <x:c r="R207" s="84" t="n">
        <x:f>NORM.S.DIST(Q207,FALSE)*NORM.S.DIST(($H$11-$H$7*Q207)/SQRT(1-$H$7^2),TRUE)</x:f>
        <x:v>0.000058916421587525716</x:v>
      </x:c>
      <x:c r="S207" s="84" t="n">
        <x:f>N207*R207</x:f>
        <x:v>0.00023566568635010287</x:v>
      </x:c>
    </x:row>
    <x:row r="208">
      <x:c r="L208" s="64" t="n">
        <x:f>202</x:f>
        <x:v>202</x:v>
      </x:c>
      <x:c r="M208" s="84" t="n">
        <x:f>$C$14+(($H$8-$C$14)/$C$13)*L208</x:f>
        <x:v>-4.0928181270753665</x:v>
      </x:c>
      <x:c r="N208" s="84" t="n">
        <x:f>IF(OR(L208=0,L208=$C$13),1,IF(MOD(L208,2)=0,2,4))</x:f>
        <x:v>2</x:v>
      </x:c>
      <x:c r="O208" s="84" t="n">
        <x:f>NORM.S.DIST(M208,FALSE)*NORM.S.DIST(($H$10-$H$7*M208)/SQRT(1-$H$7^2),TRUE)</x:f>
        <x:v>0.00009192543443088333</x:v>
      </x:c>
      <x:c r="P208" s="84" t="n">
        <x:f>N208*O208</x:f>
        <x:v>0.00018385086886176666</x:v>
      </x:c>
      <x:c r="Q208" s="84" t="n">
        <x:f>$C$14+(($H$9-$C$14)/$C$13)*L208</x:f>
        <x:v>-4.181193127075367</x:v>
      </x:c>
      <x:c r="R208" s="84" t="n">
        <x:f>NORM.S.DIST(Q208,FALSE)*NORM.S.DIST(($H$11-$H$7*Q208)/SQRT(1-$H$7^2),TRUE)</x:f>
        <x:v>0.00006377368622958703</x:v>
      </x:c>
      <x:c r="S208" s="84" t="n">
        <x:f>N208*R208</x:f>
        <x:v>0.00012754737245917406</x:v>
      </x:c>
    </x:row>
    <x:row r="209">
      <x:c r="L209" s="64" t="n">
        <x:f>203</x:f>
        <x:v>203</x:v>
      </x:c>
      <x:c r="M209" s="84" t="n">
        <x:f>$C$14+(($H$8-$C$14)/$C$13)*L209</x:f>
        <x:v>-4.0734756425559375</x:v>
      </x:c>
      <x:c r="N209" s="84" t="n">
        <x:f>IF(OR(L209=0,L209=$C$13),1,IF(MOD(L209,2)=0,2,4))</x:f>
        <x:v>4</x:v>
      </x:c>
      <x:c r="O209" s="84" t="n">
        <x:f>NORM.S.DIST(M209,FALSE)*NORM.S.DIST(($H$10-$H$7*M209)/SQRT(1-$H$7^2),TRUE)</x:f>
        <x:v>0.00009947980932048113</x:v>
      </x:c>
      <x:c r="P209" s="84" t="n">
        <x:f>N209*O209</x:f>
        <x:v>0.0003979192372819245</x:v>
      </x:c>
      <x:c r="Q209" s="84" t="n">
        <x:f>$C$14+(($H$9-$C$14)/$C$13)*L209</x:f>
        <x:v>-4.162288142555938</x:v>
      </x:c>
      <x:c r="R209" s="84" t="n">
        <x:f>NORM.S.DIST(Q209,FALSE)*NORM.S.DIST(($H$11-$H$7*Q209)/SQRT(1-$H$7^2),TRUE)</x:f>
        <x:v>0.00006900671507553107</x:v>
      </x:c>
      <x:c r="S209" s="84" t="n">
        <x:f>N209*R209</x:f>
        <x:v>0.00027602686030212426</x:v>
      </x:c>
    </x:row>
    <x:row r="210">
      <x:c r="L210" s="64" t="n">
        <x:f>204</x:f>
        <x:v>204</x:v>
      </x:c>
      <x:c r="M210" s="84" t="n">
        <x:f>$C$14+(($H$8-$C$14)/$C$13)*L210</x:f>
        <x:v>-4.0541331580365085</x:v>
      </x:c>
      <x:c r="N210" s="84" t="n">
        <x:f>IF(OR(L210=0,L210=$C$13),1,IF(MOD(L210,2)=0,2,4))</x:f>
        <x:v>2</x:v>
      </x:c>
      <x:c r="O210" s="84" t="n">
        <x:f>NORM.S.DIST(M210,FALSE)*NORM.S.DIST(($H$10-$H$7*M210)/SQRT(1-$H$7^2),TRUE)</x:f>
        <x:v>0.00010761471706511909</x:v>
      </x:c>
      <x:c r="P210" s="84" t="n">
        <x:f>N210*O210</x:f>
        <x:v>0.00021522943413023818</x:v>
      </x:c>
      <x:c r="Q210" s="84" t="n">
        <x:f>$C$14+(($H$9-$C$14)/$C$13)*L210</x:f>
        <x:v>-4.143383158036508</x:v>
      </x:c>
      <x:c r="R210" s="84" t="n">
        <x:f>NORM.S.DIST(Q210,FALSE)*NORM.S.DIST(($H$11-$H$7*Q210)/SQRT(1-$H$7^2),TRUE)</x:f>
        <x:v>0.0000746424444912622</x:v>
      </x:c>
      <x:c r="S210" s="84" t="n">
        <x:f>N210*R210</x:f>
        <x:v>0.0001492848889825244</x:v>
      </x:c>
    </x:row>
    <x:row r="211">
      <x:c r="L211" s="64" t="n">
        <x:f>205</x:f>
        <x:v>205</x:v>
      </x:c>
      <x:c r="M211" s="84" t="n">
        <x:f>$C$14+(($H$8-$C$14)/$C$13)*L211</x:f>
        <x:v>-4.0347906735170795</x:v>
      </x:c>
      <x:c r="N211" s="84" t="n">
        <x:f>IF(OR(L211=0,L211=$C$13),1,IF(MOD(L211,2)=0,2,4))</x:f>
        <x:v>4</x:v>
      </x:c>
      <x:c r="O211" s="84" t="n">
        <x:f>NORM.S.DIST(M211,FALSE)*NORM.S.DIST(($H$10-$H$7*M211)/SQRT(1-$H$7^2),TRUE)</x:f>
        <x:v>0.00011637129292315039</x:v>
      </x:c>
      <x:c r="P211" s="84" t="n">
        <x:f>N211*O211</x:f>
        <x:v>0.00046548517169260156</x:v>
      </x:c>
      <x:c r="Q211" s="84" t="n">
        <x:f>$C$14+(($H$9-$C$14)/$C$13)*L211</x:f>
        <x:v>-4.12447817351708</x:v>
      </x:c>
      <x:c r="R211" s="84" t="n">
        <x:f>NORM.S.DIST(Q211,FALSE)*NORM.S.DIST(($H$11-$H$7*Q211)/SQRT(1-$H$7^2),TRUE)</x:f>
        <x:v>0.00008070956585898844</x:v>
      </x:c>
      <x:c r="S211" s="84" t="n">
        <x:f>N211*R211</x:f>
        <x:v>0.00032283826343595376</x:v>
      </x:c>
    </x:row>
    <x:row r="212">
      <x:c r="L212" s="64" t="n">
        <x:f>206</x:f>
        <x:v>206</x:v>
      </x:c>
      <x:c r="M212" s="84" t="n">
        <x:f>$C$14+(($H$8-$C$14)/$C$13)*L212</x:f>
        <x:v>-4.0154481889976505</x:v>
      </x:c>
      <x:c r="N212" s="84" t="n">
        <x:f>IF(OR(L212=0,L212=$C$13),1,IF(MOD(L212,2)=0,2,4))</x:f>
        <x:v>2</x:v>
      </x:c>
      <x:c r="O212" s="84" t="n">
        <x:f>NORM.S.DIST(M212,FALSE)*NORM.S.DIST(($H$10-$H$7*M212)/SQRT(1-$H$7^2),TRUE)</x:f>
        <x:v>0.00012579330111551538</x:v>
      </x:c>
      <x:c r="P212" s="84" t="n">
        <x:f>N212*O212</x:f>
        <x:v>0.00025158660223103076</x:v>
      </x:c>
      <x:c r="Q212" s="84" t="n">
        <x:f>$C$14+(($H$9-$C$14)/$C$13)*L212</x:f>
        <x:v>-4.105573188997651</x:v>
      </x:c>
      <x:c r="R212" s="84" t="n">
        <x:f>NORM.S.DIST(Q212,FALSE)*NORM.S.DIST(($H$11-$H$7*Q212)/SQRT(1-$H$7^2),TRUE)</x:f>
        <x:v>0.0000872386261142708</x:v>
      </x:c>
      <x:c r="S212" s="84" t="n">
        <x:f>N212*R212</x:f>
        <x:v>0.0001744772522285416</x:v>
      </x:c>
    </x:row>
    <x:row r="213">
      <x:c r="L213" s="64" t="n">
        <x:f>207</x:f>
        <x:v>207</x:v>
      </x:c>
      <x:c r="M213" s="84" t="n">
        <x:f>$C$14+(($H$8-$C$14)/$C$13)*L213</x:f>
        <x:v>-3.9961057044782224</x:v>
      </x:c>
      <x:c r="N213" s="84" t="n">
        <x:f>IF(OR(L213=0,L213=$C$13),1,IF(MOD(L213,2)=0,2,4))</x:f>
        <x:v>4</x:v>
      </x:c>
      <x:c r="O213" s="84" t="n">
        <x:f>NORM.S.DIST(M213,FALSE)*NORM.S.DIST(($H$10-$H$7*M213)/SQRT(1-$H$7^2),TRUE)</x:f>
        <x:v>0.00013592728052627933</x:v>
      </x:c>
      <x:c r="P213" s="84" t="n">
        <x:f>N213*O213</x:f>
        <x:v>0.0005437091221051173</x:v>
      </x:c>
      <x:c r="Q213" s="84" t="n">
        <x:f>$C$14+(($H$9-$C$14)/$C$13)*L213</x:f>
        <x:v>-4.086668204478222</x:v>
      </x:c>
      <x:c r="R213" s="84" t="n">
        <x:f>NORM.S.DIST(Q213,FALSE)*NORM.S.DIST(($H$11-$H$7*Q213)/SQRT(1-$H$7^2),TRUE)</x:f>
        <x:v>0.00009426213300807818</x:v>
      </x:c>
      <x:c r="S213" s="84" t="n">
        <x:f>N213*R213</x:f>
        <x:v>0.00037704853203231274</x:v>
      </x:c>
    </x:row>
    <x:row r="214">
      <x:c r="L214" s="64" t="n">
        <x:f>208</x:f>
        <x:v>208</x:v>
      </x:c>
      <x:c r="M214" s="84" t="n">
        <x:f>$C$14+(($H$8-$C$14)/$C$13)*L214</x:f>
        <x:v>-3.9767632199587934</x:v>
      </x:c>
      <x:c r="N214" s="84" t="n">
        <x:f>IF(OR(L214=0,L214=$C$13),1,IF(MOD(L214,2)=0,2,4))</x:f>
        <x:v>2</x:v>
      </x:c>
      <x:c r="O214" s="84" t="n">
        <x:f>NORM.S.DIST(M214,FALSE)*NORM.S.DIST(($H$10-$H$7*M214)/SQRT(1-$H$7^2),TRUE)</x:f>
        <x:v>0.00014682269681810562</x:v>
      </x:c>
      <x:c r="P214" s="84" t="n">
        <x:f>N214*O214</x:f>
        <x:v>0.00029364539363621123</x:v>
      </x:c>
      <x:c r="Q214" s="84" t="n">
        <x:f>$C$14+(($H$9-$C$14)/$C$13)*L214</x:f>
        <x:v>-4.067763219958794</x:v>
      </x:c>
      <x:c r="R214" s="84" t="n">
        <x:f>NORM.S.DIST(Q214,FALSE)*NORM.S.DIST(($H$11-$H$7*Q214)/SQRT(1-$H$7^2),TRUE)</x:f>
        <x:v>0.00010181466524087648</x:v>
      </x:c>
      <x:c r="S214" s="84" t="n">
        <x:f>N214*R214</x:f>
        <x:v>0.00020362933048175295</x:v>
      </x:c>
    </x:row>
    <x:row r="215">
      <x:c r="L215" s="64" t="n">
        <x:f>209</x:f>
        <x:v>209</x:v>
      </x:c>
      <x:c r="M215" s="84" t="n">
        <x:f>$C$14+(($H$8-$C$14)/$C$13)*L215</x:f>
        <x:v>-3.9574207354393645</x:v>
      </x:c>
      <x:c r="N215" s="84" t="n">
        <x:f>IF(OR(L215=0,L215=$C$13),1,IF(MOD(L215,2)=0,2,4))</x:f>
        <x:v>4</x:v>
      </x:c>
      <x:c r="O215" s="84" t="n">
        <x:f>NORM.S.DIST(M215,FALSE)*NORM.S.DIST(($H$10-$H$7*M215)/SQRT(1-$H$7^2),TRUE)</x:f>
        <x:v>0.0001585321011251676</x:v>
      </x:c>
      <x:c r="P215" s="84" t="n">
        <x:f>N215*O215</x:f>
        <x:v>0.0006341284045006705</x:v>
      </x:c>
      <x:c r="Q215" s="84" t="n">
        <x:f>$C$14+(($H$9-$C$14)/$C$13)*L215</x:f>
        <x:v>-4.048858235439365</x:v>
      </x:c>
      <x:c r="R215" s="84" t="n">
        <x:f>NORM.S.DIST(Q215,FALSE)*NORM.S.DIST(($H$11-$H$7*Q215)/SQRT(1-$H$7^2),TRUE)</x:f>
        <x:v>0.00010993298761473022</x:v>
      </x:c>
      <x:c r="S215" s="84" t="n">
        <x:f>N215*R215</x:f>
        <x:v>0.0004397319504589209</x:v>
      </x:c>
    </x:row>
    <x:row r="216">
      <x:c r="L216" s="64" t="n">
        <x:f>210</x:f>
        <x:v>210</x:v>
      </x:c>
      <x:c r="M216" s="84" t="n">
        <x:f>$C$14+(($H$8-$C$14)/$C$13)*L216</x:f>
        <x:v>-3.9380782509199355</x:v>
      </x:c>
      <x:c r="N216" s="84" t="n">
        <x:f>IF(OR(L216=0,L216=$C$13),1,IF(MOD(L216,2)=0,2,4))</x:f>
        <x:v>2</x:v>
      </x:c>
      <x:c r="O216" s="84" t="n">
        <x:f>NORM.S.DIST(M216,FALSE)*NORM.S.DIST(($H$10-$H$7*M216)/SQRT(1-$H$7^2),TRUE)</x:f>
        <x:v>0.0001711112954810141</x:v>
      </x:c>
      <x:c r="P216" s="84" t="n">
        <x:f>N216*O216</x:f>
        <x:v>0.0003422225909620282</x:v>
      </x:c>
      <x:c r="Q216" s="84" t="n">
        <x:f>$C$14+(($H$9-$C$14)/$C$13)*L216</x:f>
        <x:v>-4.029953250919935</x:v>
      </x:c>
      <x:c r="R216" s="84" t="n">
        <x:f>NORM.S.DIST(Q216,FALSE)*NORM.S.DIST(($H$11-$H$7*Q216)/SQRT(1-$H$7^2),TRUE)</x:f>
        <x:v>0.00011865617134781985</x:v>
      </x:c>
      <x:c r="S216" s="84" t="n">
        <x:f>N216*R216</x:f>
        <x:v>0.0002373123426956397</x:v>
      </x:c>
    </x:row>
    <x:row r="217">
      <x:c r="L217" s="64" t="n">
        <x:f>211</x:f>
        <x:v>211</x:v>
      </x:c>
      <x:c r="M217" s="84" t="n">
        <x:f>$C$14+(($H$8-$C$14)/$C$13)*L217</x:f>
        <x:v>-3.9187357664005065</x:v>
      </x:c>
      <x:c r="N217" s="84" t="n">
        <x:f>IF(OR(L217=0,L217=$C$13),1,IF(MOD(L217,2)=0,2,4))</x:f>
        <x:v>4</x:v>
      </x:c>
      <x:c r="O217" s="84" t="n">
        <x:f>NORM.S.DIST(M217,FALSE)*NORM.S.DIST(($H$10-$H$7*M217)/SQRT(1-$H$7^2),TRUE)</x:f>
        <x:v>0.00018461950513294203</x:v>
      </x:c>
      <x:c r="P217" s="84" t="n">
        <x:f>N217*O217</x:f>
        <x:v>0.0007384780205317681</x:v>
      </x:c>
      <x:c r="Q217" s="84" t="n">
        <x:f>$C$14+(($H$9-$C$14)/$C$13)*L217</x:f>
        <x:v>-4.011048266400507</x:v>
      </x:c>
      <x:c r="R217" s="84" t="n">
        <x:f>NORM.S.DIST(Q217,FALSE)*NORM.S.DIST(($H$11-$H$7*Q217)/SQRT(1-$H$7^2),TRUE)</x:f>
        <x:v>0.00012802571969359376</x:v>
      </x:c>
      <x:c r="S217" s="84" t="n">
        <x:f>N217*R217</x:f>
        <x:v>0.0005121028787743751</x:v>
      </x:c>
    </x:row>
    <x:row r="218">
      <x:c r="L218" s="64" t="n">
        <x:f>212</x:f>
        <x:v>212</x:v>
      </x:c>
      <x:c r="M218" s="84" t="n">
        <x:f>$C$14+(($H$8-$C$14)/$C$13)*L218</x:f>
        <x:v>-3.8993932818810775</x:v>
      </x:c>
      <x:c r="N218" s="84" t="n">
        <x:f>IF(OR(L218=0,L218=$C$13),1,IF(MOD(L218,2)=0,2,4))</x:f>
        <x:v>2</x:v>
      </x:c>
      <x:c r="O218" s="84" t="n">
        <x:f>NORM.S.DIST(M218,FALSE)*NORM.S.DIST(($H$10-$H$7*M218)/SQRT(1-$H$7^2),TRUE)</x:f>
        <x:v>0.00019911955788751823</x:v>
      </x:c>
      <x:c r="P218" s="84" t="n">
        <x:f>N218*O218</x:f>
        <x:v>0.00039823911577503647</x:v>
      </x:c>
      <x:c r="Q218" s="84" t="n">
        <x:f>$C$14+(($H$9-$C$14)/$C$13)*L218</x:f>
        <x:v>-3.992143281881078</x:v>
      </x:c>
      <x:c r="R218" s="84" t="n">
        <x:f>NORM.S.DIST(Q218,FALSE)*NORM.S.DIST(($H$11-$H$7*Q218)/SQRT(1-$H$7^2),TRUE)</x:f>
        <x:v>0.00013808569900396864</x:v>
      </x:c>
      <x:c r="S218" s="84" t="n">
        <x:f>N218*R218</x:f>
        <x:v>0.0002761713980079373</x:v>
      </x:c>
    </x:row>
    <x:row r="219">
      <x:c r="L219" s="64" t="n">
        <x:f>213</x:f>
        <x:v>213</x:v>
      </x:c>
      <x:c r="M219" s="84" t="n">
        <x:f>$C$14+(($H$8-$C$14)/$C$13)*L219</x:f>
        <x:v>-3.8800507973616485</x:v>
      </x:c>
      <x:c r="N219" s="84" t="n">
        <x:f>IF(OR(L219=0,L219=$C$13),1,IF(MOD(L219,2)=0,2,4))</x:f>
        <x:v>4</x:v>
      </x:c>
      <x:c r="O219" s="84" t="n">
        <x:f>NORM.S.DIST(M219,FALSE)*NORM.S.DIST(($H$10-$H$7*M219)/SQRT(1-$H$7^2),TRUE)</x:f>
        <x:v>0.00021467807062394294</x:v>
      </x:c>
      <x:c r="P219" s="84" t="n">
        <x:f>N219*O219</x:f>
        <x:v>0.0008587122824957718</x:v>
      </x:c>
      <x:c r="Q219" s="84" t="n">
        <x:f>$C$14+(($H$9-$C$14)/$C$13)*L219</x:f>
        <x:v>-3.9732382973616494</x:v>
      </x:c>
      <x:c r="R219" s="84" t="n">
        <x:f>NORM.S.DIST(Q219,FALSE)*NORM.S.DIST(($H$11-$H$7*Q219)/SQRT(1-$H$7^2),TRUE)</x:f>
        <x:v>0.00014888287537248557</x:v>
      </x:c>
      <x:c r="S219" s="84" t="n">
        <x:f>N219*R219</x:f>
        <x:v>0.0005955315014899423</x:v>
      </x:c>
    </x:row>
    <x:row r="220">
      <x:c r="L220" s="64" t="n">
        <x:f>214</x:f>
        <x:v>214</x:v>
      </x:c>
      <x:c r="M220" s="84" t="n">
        <x:f>$C$14+(($H$8-$C$14)/$C$13)*L220</x:f>
        <x:v>-3.8607083128422204</x:v>
      </x:c>
      <x:c r="N220" s="84" t="n">
        <x:f>IF(OR(L220=0,L220=$C$13),1,IF(MOD(L220,2)=0,2,4))</x:f>
        <x:v>2</x:v>
      </x:c>
      <x:c r="O220" s="84" t="n">
        <x:f>NORM.S.DIST(M220,FALSE)*NORM.S.DIST(($H$10-$H$7*M220)/SQRT(1-$H$7^2),TRUE)</x:f>
        <x:v>0.00023136564310288668</x:v>
      </x:c>
      <x:c r="P220" s="84" t="n">
        <x:f>N220*O220</x:f>
        <x:v>0.00046273128620577335</x:v>
      </x:c>
      <x:c r="Q220" s="84" t="n">
        <x:f>$C$14+(($H$9-$C$14)/$C$13)*L220</x:f>
        <x:v>-3.95433331284222</x:v>
      </x:c>
      <x:c r="R220" s="84" t="n">
        <x:f>NORM.S.DIST(Q220,FALSE)*NORM.S.DIST(($H$11-$H$7*Q220)/SQRT(1-$H$7^2),TRUE)</x:f>
        <x:v>0.00016046685698911677</x:v>
      </x:c>
      <x:c r="S220" s="84" t="n">
        <x:f>N220*R220</x:f>
        <x:v>0.00032093371397823355</x:v>
      </x:c>
    </x:row>
    <x:row r="221">
      <x:c r="L221" s="64" t="n">
        <x:f>215</x:f>
        <x:v>215</x:v>
      </x:c>
      <x:c r="M221" s="84" t="n">
        <x:f>$C$14+(($H$8-$C$14)/$C$13)*L221</x:f>
        <x:v>-3.8413658283227914</x:v>
      </x:c>
      <x:c r="N221" s="84" t="n">
        <x:f>IF(OR(L221=0,L221=$C$13),1,IF(MOD(L221,2)=0,2,4))</x:f>
        <x:v>4</x:v>
      </x:c>
      <x:c r="O221" s="84" t="n">
        <x:f>NORM.S.DIST(M221,FALSE)*NORM.S.DIST(($H$10-$H$7*M221)/SQRT(1-$H$7^2),TRUE)</x:f>
        <x:v>0.00024925705918824514</x:v>
      </x:c>
      <x:c r="P221" s="84" t="n">
        <x:f>N221*O221</x:f>
        <x:v>0.0009970282367529806</x:v>
      </x:c>
      <x:c r="Q221" s="84" t="n">
        <x:f>$C$14+(($H$9-$C$14)/$C$13)*L221</x:f>
        <x:v>-3.935428328322791</x:v>
      </x:c>
      <x:c r="R221" s="84" t="n">
        <x:f>NORM.S.DIST(Q221,FALSE)*NORM.S.DIST(($H$11-$H$7*Q221)/SQRT(1-$H$7^2),TRUE)</x:f>
        <x:v>0.00017289024233341183</x:v>
      </x:c>
      <x:c r="S221" s="84" t="n">
        <x:f>N221*R221</x:f>
        <x:v>0.0006915609693336473</x:v>
      </x:c>
    </x:row>
    <x:row r="222">
      <x:c r="L222" s="64" t="n">
        <x:f>216</x:f>
        <x:v>216</x:v>
      </x:c>
      <x:c r="M222" s="84" t="n">
        <x:f>$C$14+(($H$8-$C$14)/$C$13)*L222</x:f>
        <x:v>-3.8220233438033624</x:v>
      </x:c>
      <x:c r="N222" s="84" t="n">
        <x:f>IF(OR(L222=0,L222=$C$13),1,IF(MOD(L222,2)=0,2,4))</x:f>
        <x:v>2</x:v>
      </x:c>
      <x:c r="O222" s="84" t="n">
        <x:f>NORM.S.DIST(M222,FALSE)*NORM.S.DIST(($H$10-$H$7*M222)/SQRT(1-$H$7^2),TRUE)</x:f>
        <x:v>0.00026843149558781863</x:v>
      </x:c>
      <x:c r="P222" s="84" t="n">
        <x:f>N222*O222</x:f>
        <x:v>0.0005368629911756373</x:v>
      </x:c>
      <x:c r="Q222" s="84" t="n">
        <x:f>$C$14+(($H$9-$C$14)/$C$13)*L222</x:f>
        <x:v>-3.9165233438033624</x:v>
      </x:c>
      <x:c r="R222" s="84" t="n">
        <x:f>NORM.S.DIST(Q222,FALSE)*NORM.S.DIST(($H$11-$H$7*Q222)/SQRT(1-$H$7^2),TRUE)</x:f>
        <x:v>0.000186208774326861</x:v>
      </x:c>
      <x:c r="S222" s="84" t="n">
        <x:f>N222*R222</x:f>
        <x:v>0.000372417548653722</x:v>
      </x:c>
    </x:row>
    <x:row r="223">
      <x:c r="L223" s="64" t="n">
        <x:f>217</x:f>
        <x:v>217</x:v>
      </x:c>
      <x:c r="M223" s="84" t="n">
        <x:f>$C$14+(($H$8-$C$14)/$C$13)*L223</x:f>
        <x:v>-3.8026808592839334</x:v>
      </x:c>
      <x:c r="N223" s="84" t="n">
        <x:f>IF(OR(L223=0,L223=$C$13),1,IF(MOD(L223,2)=0,2,4))</x:f>
        <x:v>4</x:v>
      </x:c>
      <x:c r="O223" s="84" t="n">
        <x:f>NORM.S.DIST(M223,FALSE)*NORM.S.DIST(($H$10-$H$7*M223)/SQRT(1-$H$7^2),TRUE)</x:f>
        <x:v>0.00028897273820626085</x:v>
      </x:c>
      <x:c r="P223" s="84" t="n">
        <x:f>N223*O223</x:f>
        <x:v>0.0011558909528250434</x:v>
      </x:c>
      <x:c r="Q223" s="84" t="n">
        <x:f>$C$14+(($H$9-$C$14)/$C$13)*L223</x:f>
        <x:v>-3.8976183592839337</x:v>
      </x:c>
      <x:c r="R223" s="84" t="n">
        <x:f>NORM.S.DIST(Q223,FALSE)*NORM.S.DIST(($H$11-$H$7*Q223)/SQRT(1-$H$7^2),TRUE)</x:f>
        <x:v>0.00020048150055862528</x:v>
      </x:c>
      <x:c r="S223" s="84" t="n">
        <x:f>N223*R223</x:f>
        <x:v>0.0008019260022345011</x:v>
      </x:c>
    </x:row>
    <x:row r="224">
      <x:c r="L224" s="64" t="n">
        <x:f>218</x:f>
        <x:v>218</x:v>
      </x:c>
      <x:c r="M224" s="84" t="n">
        <x:f>$C$14+(($H$8-$C$14)/$C$13)*L224</x:f>
        <x:v>-3.7833383747645044</x:v>
      </x:c>
      <x:c r="N224" s="84" t="n">
        <x:f>IF(OR(L224=0,L224=$C$13),1,IF(MOD(L224,2)=0,2,4))</x:f>
        <x:v>2</x:v>
      </x:c>
      <x:c r="O224" s="84" t="n">
        <x:f>NORM.S.DIST(M224,FALSE)*NORM.S.DIST(($H$10-$H$7*M224)/SQRT(1-$H$7^2),TRUE)</x:f>
        <x:v>0.0003109694061895937</x:v>
      </x:c>
      <x:c r="P224" s="84" t="n">
        <x:f>N224*O224</x:f>
        <x:v>0.0006219388123791874</x:v>
      </x:c>
      <x:c r="Q224" s="84" t="n">
        <x:f>$C$14+(($H$9-$C$14)/$C$13)*L224</x:f>
        <x:v>-3.878713374764504</x:v>
      </x:c>
      <x:c r="R224" s="84" t="n">
        <x:f>NORM.S.DIST(Q224,FALSE)*NORM.S.DIST(($H$11-$H$7*Q224)/SQRT(1-$H$7^2),TRUE)</x:f>
        <x:v>0.0002157709396911935</x:v>
      </x:c>
      <x:c r="S224" s="84" t="n">
        <x:f>N224*R224</x:f>
        <x:v>0.000431541879382387</x:v>
      </x:c>
    </x:row>
    <x:row r="225">
      <x:c r="L225" s="64" t="n">
        <x:f>219</x:f>
        <x:v>219</x:v>
      </x:c>
      <x:c r="M225" s="84" t="n">
        <x:f>$C$14+(($H$8-$C$14)/$C$13)*L225</x:f>
        <x:v>-3.7639958902450754</x:v>
      </x:c>
      <x:c r="N225" s="84" t="n">
        <x:f>IF(OR(L225=0,L225=$C$13),1,IF(MOD(L225,2)=0,2,4))</x:f>
        <x:v>4</x:v>
      </x:c>
      <x:c r="O225" s="84" t="n">
        <x:f>NORM.S.DIST(M225,FALSE)*NORM.S.DIST(($H$10-$H$7*M225)/SQRT(1-$H$7^2),TRUE)</x:f>
        <x:v>0.0003345151837251858</x:v>
      </x:c>
      <x:c r="P225" s="84" t="n">
        <x:f>N225*O225</x:f>
        <x:v>0.0013380607349007432</x:v>
      </x:c>
      <x:c r="Q225" s="84" t="n">
        <x:f>$C$14+(($H$9-$C$14)/$C$13)*L225</x:f>
        <x:v>-3.8598083902450755</x:v>
      </x:c>
      <x:c r="R225" s="84" t="n">
        <x:f>NORM.S.DIST(Q225,FALSE)*NORM.S.DIST(($H$11-$H$7*Q225)/SQRT(1-$H$7^2),TRUE)</x:f>
        <x:v>0.00023214325414387899</x:v>
      </x:c>
      <x:c r="S225" s="84" t="n">
        <x:f>N225*R225</x:f>
        <x:v>0.0009285730165755159</x:v>
      </x:c>
    </x:row>
    <x:row r="226">
      <x:c r="L226" s="64" t="n">
        <x:f>220</x:f>
        <x:v>220</x:v>
      </x:c>
      <x:c r="M226" s="84" t="n">
        <x:f>$C$14+(($H$8-$C$14)/$C$13)*L226</x:f>
        <x:v>-3.7446534057256464</x:v>
      </x:c>
      <x:c r="N226" s="84" t="n">
        <x:f>IF(OR(L226=0,L226=$C$13),1,IF(MOD(L226,2)=0,2,4))</x:f>
        <x:v>2</x:v>
      </x:c>
      <x:c r="O226" s="84" t="n">
        <x:f>NORM.S.DIST(M226,FALSE)*NORM.S.DIST(($H$10-$H$7*M226)/SQRT(1-$H$7^2),TRUE)</x:f>
        <x:v>0.0003597090596442217</x:v>
      </x:c>
      <x:c r="P226" s="84" t="n">
        <x:f>N226*O226</x:f>
        <x:v>0.0007194181192884434</x:v>
      </x:c>
      <x:c r="Q226" s="84" t="n">
        <x:f>$C$14+(($H$9-$C$14)/$C$13)*L226</x:f>
        <x:v>-3.840903405725647</x:v>
      </x:c>
      <x:c r="R226" s="84" t="n">
        <x:f>NORM.S.DIST(Q226,FALSE)*NORM.S.DIST(($H$11-$H$7*Q226)/SQRT(1-$H$7^2),TRUE)</x:f>
        <x:v>0.00024966842914246764</x:v>
      </x:c>
      <x:c r="S226" s="84" t="n">
        <x:f>N226*R226</x:f>
        <x:v>0.0004993368582849353</x:v>
      </x:c>
    </x:row>
    <x:row r="227">
      <x:c r="L227" s="64" t="n">
        <x:f>221</x:f>
        <x:v>221</x:v>
      </x:c>
      <x:c r="M227" s="84" t="n">
        <x:f>$C$14+(($H$8-$C$14)/$C$13)*L227</x:f>
        <x:v>-3.7253109212062174</x:v>
      </x:c>
      <x:c r="N227" s="84" t="n">
        <x:f>IF(OR(L227=0,L227=$C$13),1,IF(MOD(L227,2)=0,2,4))</x:f>
        <x:v>4</x:v>
      </x:c>
      <x:c r="O227" s="84" t="n">
        <x:f>NORM.S.DIST(M227,FALSE)*NORM.S.DIST(($H$10-$H$7*M227)/SQRT(1-$H$7^2),TRUE)</x:f>
        <x:v>0.00038665557485529994</x:v>
      </x:c>
      <x:c r="P227" s="84" t="n">
        <x:f>N227*O227</x:f>
        <x:v>0.0015466222994211997</x:v>
      </x:c>
      <x:c r="Q227" s="84" t="n">
        <x:f>$C$14+(($H$9-$C$14)/$C$13)*L227</x:f>
        <x:v>-3.821998421206218</x:v>
      </x:c>
      <x:c r="R227" s="84" t="n">
        <x:f>NORM.S.DIST(Q227,FALSE)*NORM.S.DIST(($H$11-$H$7*Q227)/SQRT(1-$H$7^2),TRUE)</x:f>
        <x:v>0.0002684204582125585</x:v>
      </x:c>
      <x:c r="S227" s="84" t="n">
        <x:f>N227*R227</x:f>
        <x:v>0.001073681832850234</x:v>
      </x:c>
    </x:row>
    <x:row r="228">
      <x:c r="L228" s="64" t="n">
        <x:f>222</x:f>
        <x:v>222</x:v>
      </x:c>
      <x:c r="M228" s="84" t="n">
        <x:f>$C$14+(($H$8-$C$14)/$C$13)*L228</x:f>
        <x:v>-3.7059684366867893</x:v>
      </x:c>
      <x:c r="N228" s="84" t="n">
        <x:f>IF(OR(L228=0,L228=$C$13),1,IF(MOD(L228,2)=0,2,4))</x:f>
        <x:v>2</x:v>
      </x:c>
      <x:c r="O228" s="84" t="n">
        <x:f>NORM.S.DIST(M228,FALSE)*NORM.S.DIST(($H$10-$H$7*M228)/SQRT(1-$H$7^2),TRUE)</x:f>
        <x:v>0.0004154650776178627</x:v>
      </x:c>
      <x:c r="P228" s="84" t="n">
        <x:f>N228*O228</x:f>
        <x:v>0.0008309301552357254</x:v>
      </x:c>
      <x:c r="Q228" s="84" t="n">
        <x:f>$C$14+(($H$9-$C$14)/$C$13)*L228</x:f>
        <x:v>-3.8030934366867895</x:v>
      </x:c>
      <x:c r="R228" s="84" t="n">
        <x:f>NORM.S.DIST(Q228,FALSE)*NORM.S.DIST(($H$11-$H$7*Q228)/SQRT(1-$H$7^2),TRUE)</x:f>
        <x:v>0.0002884775351823026</x:v>
      </x:c>
      <x:c r="S228" s="84" t="n">
        <x:f>N228*R228</x:f>
        <x:v>0.0005769550703646052</x:v>
      </x:c>
    </x:row>
    <x:row r="229">
      <x:c r="L229" s="64" t="n">
        <x:f>223</x:f>
        <x:v>223</x:v>
      </x:c>
      <x:c r="M229" s="84" t="n">
        <x:f>$C$14+(($H$8-$C$14)/$C$13)*L229</x:f>
        <x:v>-3.6866259521673603</x:v>
      </x:c>
      <x:c r="N229" s="84" t="n">
        <x:f>IF(OR(L229=0,L229=$C$13),1,IF(MOD(L229,2)=0,2,4))</x:f>
        <x:v>4</x:v>
      </x:c>
      <x:c r="O229" s="84" t="n">
        <x:f>NORM.S.DIST(M229,FALSE)*NORM.S.DIST(($H$10-$H$7*M229)/SQRT(1-$H$7^2),TRUE)</x:f>
        <x:v>0.00044625398664257463</x:v>
      </x:c>
      <x:c r="P229" s="84" t="n">
        <x:f>N229*O229</x:f>
        <x:v>0.0017850159465702985</x:v>
      </x:c>
      <x:c r="Q229" s="84" t="n">
        <x:f>$C$14+(($H$9-$C$14)/$C$13)*L229</x:f>
        <x:v>-3.78418845216736</x:v>
      </x:c>
      <x:c r="R229" s="84" t="n">
        <x:f>NORM.S.DIST(Q229,FALSE)*NORM.S.DIST(($H$11-$H$7*Q229)/SQRT(1-$H$7^2),TRUE)</x:f>
        <x:v>0.00030992225274715504</x:v>
      </x:c>
      <x:c r="S229" s="84" t="n">
        <x:f>N229*R229</x:f>
        <x:v>0.0012396890109886202</x:v>
      </x:c>
    </x:row>
    <x:row r="230">
      <x:c r="L230" s="64" t="n">
        <x:f>224</x:f>
        <x:v>224</x:v>
      </x:c>
      <x:c r="M230" s="84" t="n">
        <x:f>$C$14+(($H$8-$C$14)/$C$13)*L230</x:f>
        <x:v>-3.6672834676479313</x:v>
      </x:c>
      <x:c r="N230" s="84" t="n">
        <x:f>IF(OR(L230=0,L230=$C$13),1,IF(MOD(L230,2)=0,2,4))</x:f>
        <x:v>2</x:v>
      </x:c>
      <x:c r="O230" s="84" t="n">
        <x:f>NORM.S.DIST(M230,FALSE)*NORM.S.DIST(($H$10-$H$7*M230)/SQRT(1-$H$7^2),TRUE)</x:f>
        <x:v>0.0004791450619824971</x:v>
      </x:c>
      <x:c r="P230" s="84" t="n">
        <x:f>N230*O230</x:f>
        <x:v>0.0009582901239649942</x:v>
      </x:c>
      <x:c r="Q230" s="84" t="n">
        <x:f>$C$14+(($H$9-$C$14)/$C$13)*L230</x:f>
        <x:v>-3.765283467647931</x:v>
      </x:c>
      <x:c r="R230" s="84" t="n">
        <x:f>NORM.S.DIST(Q230,FALSE)*NORM.S.DIST(($H$11-$H$7*Q230)/SQRT(1-$H$7^2),TRUE)</x:f>
        <x:v>0.0003328418076349316</x:v>
      </x:c>
      <x:c r="S230" s="84" t="n">
        <x:f>N230*R230</x:f>
        <x:v>0.0006656836152698632</x:v>
      </x:c>
    </x:row>
    <x:row r="231">
      <x:c r="L231" s="64" t="n">
        <x:f>225</x:f>
        <x:v>225</x:v>
      </x:c>
      <x:c r="M231" s="84" t="n">
        <x:f>$C$14+(($H$8-$C$14)/$C$13)*L231</x:f>
        <x:v>-3.6479409831285023</x:v>
      </x:c>
      <x:c r="N231" s="84" t="n">
        <x:f>IF(OR(L231=0,L231=$C$13),1,IF(MOD(L231,2)=0,2,4))</x:f>
        <x:v>4</x:v>
      </x:c>
      <x:c r="O231" s="84" t="n">
        <x:f>NORM.S.DIST(M231,FALSE)*NORM.S.DIST(($H$10-$H$7*M231)/SQRT(1-$H$7^2),TRUE)</x:f>
        <x:v>0.0005142676836539362</x:v>
      </x:c>
      <x:c r="P231" s="84" t="n">
        <x:f>N231*O231</x:f>
        <x:v>0.002057070734615745</x:v>
      </x:c>
      <x:c r="Q231" s="84" t="n">
        <x:f>$C$14+(($H$9-$C$14)/$C$13)*L231</x:f>
        <x:v>-3.7463784831285025</x:v>
      </x:c>
      <x:c r="R231" s="84" t="n">
        <x:f>NORM.S.DIST(Q231,FALSE)*NORM.S.DIST(($H$11-$H$7*Q231)/SQRT(1-$H$7^2),TRUE)</x:f>
        <x:v>0.0003573282123938587</x:v>
      </x:c>
      <x:c r="S231" s="84" t="n">
        <x:f>N231*R231</x:f>
        <x:v>0.0014293128495754348</x:v>
      </x:c>
    </x:row>
    <x:row r="232">
      <x:c r="L232" s="64" t="n">
        <x:f>226</x:f>
        <x:v>226</x:v>
      </x:c>
      <x:c r="M232" s="84" t="n">
        <x:f>$C$14+(($H$8-$C$14)/$C$13)*L232</x:f>
        <x:v>-3.6285984986090734</x:v>
      </x:c>
      <x:c r="N232" s="84" t="n">
        <x:f>IF(OR(L232=0,L232=$C$13),1,IF(MOD(L232,2)=0,2,4))</x:f>
        <x:v>2</x:v>
      </x:c>
      <x:c r="O232" s="84" t="n">
        <x:f>NORM.S.DIST(M232,FALSE)*NORM.S.DIST(($H$10-$H$7*M232)/SQRT(1-$H$7^2),TRUE)</x:f>
        <x:v>0.000551758137899031</x:v>
      </x:c>
      <x:c r="P232" s="84" t="n">
        <x:f>N232*O232</x:f>
        <x:v>0.001103516275798062</x:v>
      </x:c>
      <x:c r="Q232" s="84" t="n">
        <x:f>$C$14+(($H$9-$C$14)/$C$13)*L232</x:f>
        <x:v>-3.727473498609074</x:v>
      </x:c>
      <x:c r="R232" s="84" t="n">
        <x:f>NORM.S.DIST(Q232,FALSE)*NORM.S.DIST(($H$11-$H$7*Q232)/SQRT(1-$H$7^2),TRUE)</x:f>
        <x:v>0.0003834785138092594</x:v>
      </x:c>
      <x:c r="S232" s="84" t="n">
        <x:f>N232*R232</x:f>
        <x:v>0.0007669570276185188</x:v>
      </x:c>
    </x:row>
    <x:row r="233">
      <x:c r="L233" s="64" t="n">
        <x:f>227</x:f>
        <x:v>227</x:v>
      </x:c>
      <x:c r="M233" s="84" t="n">
        <x:f>$C$14+(($H$8-$C$14)/$C$13)*L233</x:f>
        <x:v>-3.6092560140896444</x:v>
      </x:c>
      <x:c r="N233" s="84" t="n">
        <x:f>IF(OR(L233=0,L233=$C$13),1,IF(MOD(L233,2)=0,2,4))</x:f>
        <x:v>4</x:v>
      </x:c>
      <x:c r="O233" s="84" t="n">
        <x:f>NORM.S.DIST(M233,FALSE)*NORM.S.DIST(($H$10-$H$7*M233)/SQRT(1-$H$7^2),TRUE)</x:f>
        <x:v>0.0005917599109735293</x:v>
      </x:c>
      <x:c r="P233" s="84" t="n">
        <x:f>N233*O233</x:f>
        <x:v>0.0023670396438941173</x:v>
      </x:c>
      <x:c r="Q233" s="84" t="n">
        <x:f>$C$14+(($H$9-$C$14)/$C$13)*L233</x:f>
        <x:v>-3.7085685140896443</x:v>
      </x:c>
      <x:c r="R233" s="84" t="n">
        <x:f>NORM.S.DIST(Q233,FALSE)*NORM.S.DIST(($H$11-$H$7*Q233)/SQRT(1-$H$7^2),TRUE)</x:f>
        <x:v>0.00041139501793615706</x:v>
      </x:c>
      <x:c r="S233" s="84" t="n">
        <x:f>N233*R233</x:f>
        <x:v>0.0016455800717446283</x:v>
      </x:c>
    </x:row>
    <x:row r="234">
      <x:c r="L234" s="64" t="n">
        <x:f>228</x:f>
        <x:v>228</x:v>
      </x:c>
      <x:c r="M234" s="84" t="n">
        <x:f>$C$14+(($H$8-$C$14)/$C$13)*L234</x:f>
        <x:v>-3.5899135295702154</x:v>
      </x:c>
      <x:c r="N234" s="84" t="n">
        <x:f>IF(OR(L234=0,L234=$C$13),1,IF(MOD(L234,2)=0,2,4))</x:f>
        <x:v>2</x:v>
      </x:c>
      <x:c r="O234" s="84" t="n">
        <x:f>NORM.S.DIST(M234,FALSE)*NORM.S.DIST(($H$10-$H$7*M234)/SQRT(1-$H$7^2),TRUE)</x:f>
        <x:v>0.0006344239903126981</x:v>
      </x:c>
      <x:c r="P234" s="84" t="n">
        <x:f>N234*O234</x:f>
        <x:v>0.0012688479806253962</x:v>
      </x:c>
      <x:c r="Q234" s="84" t="n">
        <x:f>$C$14+(($H$9-$C$14)/$C$13)*L234</x:f>
        <x:v>-3.6896635295702156</x:v>
      </x:c>
      <x:c r="R234" s="84" t="n">
        <x:f>NORM.S.DIST(Q234,FALSE)*NORM.S.DIST(($H$11-$H$7*Q234)/SQRT(1-$H$7^2),TRUE)</x:f>
        <x:v>0.0004411855217151473</x:v>
      </x:c>
      <x:c r="S234" s="84" t="n">
        <x:f>N234*R234</x:f>
        <x:v>0.0008823710434302946</x:v>
      </x:c>
    </x:row>
    <x:row r="235">
      <x:c r="L235" s="64" t="n">
        <x:f>229</x:f>
        <x:v>229</x:v>
      </x:c>
      <x:c r="M235" s="84" t="n">
        <x:f>$C$14+(($H$8-$C$14)/$C$13)*L235</x:f>
        <x:v>-3.5705710450507873</x:v>
      </x:c>
      <x:c r="N235" s="84" t="n">
        <x:f>IF(OR(L235=0,L235=$C$13),1,IF(MOD(L235,2)=0,2,4))</x:f>
        <x:v>4</x:v>
      </x:c>
      <x:c r="O235" s="84" t="n">
        <x:f>NORM.S.DIST(M235,FALSE)*NORM.S.DIST(($H$10-$H$7*M235)/SQRT(1-$H$7^2),TRUE)</x:f>
        <x:v>0.000679909172895874</x:v>
      </x:c>
      <x:c r="P235" s="84" t="n">
        <x:f>N235*O235</x:f>
        <x:v>0.002719636691583496</x:v>
      </x:c>
      <x:c r="Q235" s="84" t="n">
        <x:f>$C$14+(($H$9-$C$14)/$C$13)*L235</x:f>
        <x:v>-3.670758545050787</x:v>
      </x:c>
      <x:c r="R235" s="84" t="n">
        <x:f>NORM.S.DIST(Q235,FALSE)*NORM.S.DIST(($H$11-$H$7*Q235)/SQRT(1-$H$7^2),TRUE)</x:f>
        <x:v>0.0004729635511175132</x:v>
      </x:c>
      <x:c r="S235" s="84" t="n">
        <x:f>N235*R235</x:f>
        <x:v>0.0018918542044700528</x:v>
      </x:c>
    </x:row>
    <x:row r="236">
      <x:c r="L236" s="64" t="n">
        <x:f>230</x:f>
        <x:v>230</x:v>
      </x:c>
      <x:c r="M236" s="84" t="n">
        <x:f>$C$14+(($H$8-$C$14)/$C$13)*L236</x:f>
        <x:v>-3.5512285605313583</x:v>
      </x:c>
      <x:c r="N236" s="84" t="n">
        <x:f>IF(OR(L236=0,L236=$C$13),1,IF(MOD(L236,2)=0,2,4))</x:f>
        <x:v>2</x:v>
      </x:c>
      <x:c r="O236" s="84" t="n">
        <x:f>NORM.S.DIST(M236,FALSE)*NORM.S.DIST(($H$10-$H$7*M236)/SQRT(1-$H$7^2),TRUE)</x:f>
        <x:v>0.0007283823805957521</x:v>
      </x:c>
      <x:c r="P236" s="84" t="n">
        <x:f>N236*O236</x:f>
        <x:v>0.0014567647611915043</x:v>
      </x:c>
      <x:c r="Q236" s="84" t="n">
        <x:f>$C$14+(($H$9-$C$14)/$C$13)*L236</x:f>
        <x:v>-3.6518535605313582</x:v>
      </x:c>
      <x:c r="R236" s="84" t="n">
        <x:f>NORM.S.DIST(Q236,FALSE)*NORM.S.DIST(($H$11-$H$7*Q236)/SQRT(1-$H$7^2),TRUE)</x:f>
        <x:v>0.0005068486057425253</x:v>
      </x:c>
      <x:c r="S236" s="84" t="n">
        <x:f>N236*R236</x:f>
        <x:v>0.0010136972114850506</x:v>
      </x:c>
    </x:row>
    <x:row r="237">
      <x:c r="L237" s="64" t="n">
        <x:f>231</x:f>
        <x:v>231</x:v>
      </x:c>
      <x:c r="M237" s="84" t="n">
        <x:f>$C$14+(($H$8-$C$14)/$C$13)*L237</x:f>
        <x:v>-3.5318860760119293</x:v>
      </x:c>
      <x:c r="N237" s="84" t="n">
        <x:f>IF(OR(L237=0,L237=$C$13),1,IF(MOD(L237,2)=0,2,4))</x:f>
        <x:v>4</x:v>
      </x:c>
      <x:c r="O237" s="84" t="n">
        <x:f>NORM.S.DIST(M237,FALSE)*NORM.S.DIST(($H$10-$H$7*M237)/SQRT(1-$H$7^2),TRUE)</x:f>
        <x:v>0.0007800189822620874</x:v>
      </x:c>
      <x:c r="P237" s="84" t="n">
        <x:f>N237*O237</x:f>
        <x:v>0.0031200759290483495</x:v>
      </x:c>
      <x:c r="Q237" s="84" t="n">
        <x:f>$C$14+(($H$9-$C$14)/$C$13)*L237</x:f>
        <x:v>-3.6329485760119296</x:v>
      </x:c>
      <x:c r="R237" s="84" t="n">
        <x:f>NORM.S.DIST(Q237,FALSE)*NORM.S.DIST(($H$11-$H$7*Q237)/SQRT(1-$H$7^2),TRUE)</x:f>
        <x:v>0.0005429664097652738</x:v>
      </x:c>
      <x:c r="S237" s="84" t="n">
        <x:f>N237*R237</x:f>
        <x:v>0.002171865639061095</x:v>
      </x:c>
    </x:row>
    <x:row r="238">
      <x:c r="L238" s="64" t="n">
        <x:f>232</x:f>
        <x:v>232</x:v>
      </x:c>
      <x:c r="M238" s="84" t="n">
        <x:f>$C$14+(($H$8-$C$14)/$C$13)*L238</x:f>
        <x:v>-3.5125435914925003</x:v>
      </x:c>
      <x:c r="N238" s="84" t="n">
        <x:f>IF(OR(L238=0,L238=$C$13),1,IF(MOD(L238,2)=0,2,4))</x:f>
        <x:v>2</x:v>
      </x:c>
      <x:c r="O238" s="84" t="n">
        <x:f>NORM.S.DIST(M238,FALSE)*NORM.S.DIST(($H$10-$H$7*M238)/SQRT(1-$H$7^2),TRUE)</x:f>
        <x:v>0.0008350031222510754</x:v>
      </x:c>
      <x:c r="P238" s="84" t="n">
        <x:f>N238*O238</x:f>
        <x:v>0.0016700062445021509</x:v>
      </x:c>
      <x:c r="Q238" s="84" t="n">
        <x:f>$C$14+(($H$9-$C$14)/$C$13)*L238</x:f>
        <x:v>-3.6140435914925</x:v>
      </x:c>
      <x:c r="R238" s="84" t="n">
        <x:f>NORM.S.DIST(Q238,FALSE)*NORM.S.DIST(($H$11-$H$7*Q238)/SQRT(1-$H$7^2),TRUE)</x:f>
        <x:v>0.0005814491691070809</x:v>
      </x:c>
      <x:c r="S238" s="84" t="n">
        <x:f>N238*R238</x:f>
        <x:v>0.0011628983382141619</x:v>
      </x:c>
    </x:row>
    <x:row r="239">
      <x:c r="L239" s="64" t="n">
        <x:f>233</x:f>
        <x:v>233</x:v>
      </x:c>
      <x:c r="M239" s="84" t="n">
        <x:f>$C$14+(($H$8-$C$14)/$C$13)*L239</x:f>
        <x:v>-3.4932011069730713</x:v>
      </x:c>
      <x:c r="N239" s="84" t="n">
        <x:f>IF(OR(L239=0,L239=$C$13),1,IF(MOD(L239,2)=0,2,4))</x:f>
        <x:v>4</x:v>
      </x:c>
      <x:c r="O239" s="84" t="n">
        <x:f>NORM.S.DIST(M239,FALSE)*NORM.S.DIST(($H$10-$H$7*M239)/SQRT(1-$H$7^2),TRUE)</x:f>
        <x:v>0.0008935280550711399</x:v>
      </x:c>
      <x:c r="P239" s="84" t="n">
        <x:f>N239*O239</x:f>
        <x:v>0.0035741122202845596</x:v>
      </x:c>
      <x:c r="Q239" s="84" t="n">
        <x:f>$C$14+(($H$9-$C$14)/$C$13)*L239</x:f>
        <x:v>-3.5951386069730713</x:v>
      </x:c>
      <x:c r="R239" s="84" t="n">
        <x:f>NORM.S.DIST(Q239,FALSE)*NORM.S.DIST(($H$11-$H$7*Q239)/SQRT(1-$H$7^2),TRUE)</x:f>
        <x:v>0.0006224358346724687</x:v>
      </x:c>
      <x:c r="S239" s="84" t="n">
        <x:f>N239*R239</x:f>
        <x:v>0.0024897433386898747</x:v>
      </x:c>
    </x:row>
    <x:row r="240">
      <x:c r="L240" s="64" t="n">
        <x:f>234</x:f>
        <x:v>234</x:v>
      </x:c>
      <x:c r="M240" s="84" t="n">
        <x:f>$C$14+(($H$8-$C$14)/$C$13)*L240</x:f>
        <x:v>-3.4738586224536423</x:v>
      </x:c>
      <x:c r="N240" s="84" t="n">
        <x:f>IF(OR(L240=0,L240=$C$13),1,IF(MOD(L240,2)=0,2,4))</x:f>
        <x:v>2</x:v>
      </x:c>
      <x:c r="O240" s="84" t="n">
        <x:f>NORM.S.DIST(M240,FALSE)*NORM.S.DIST(($H$10-$H$7*M240)/SQRT(1-$H$7^2),TRUE)</x:f>
        <x:v>0.0009557964857732624</x:v>
      </x:c>
      <x:c r="P240" s="84" t="n">
        <x:f>N240*O240</x:f>
        <x:v>0.0019115929715465248</x:v>
      </x:c>
      <x:c r="Q240" s="84" t="n">
        <x:f>$C$14+(($H$9-$C$14)/$C$13)*L240</x:f>
        <x:v>-3.5762336224536426</x:v>
      </x:c>
      <x:c r="R240" s="84" t="n">
        <x:f>NORM.S.DIST(Q240,FALSE)*NORM.S.DIST(($H$11-$H$7*Q240)/SQRT(1-$H$7^2),TRUE)</x:f>
        <x:v>0.0006660723714669619</x:v>
      </x:c>
      <x:c r="S240" s="84" t="n">
        <x:f>N240*R240</x:f>
        <x:v>0.0013321447429339237</x:v>
      </x:c>
    </x:row>
    <x:row r="241">
      <x:c r="L241" s="64" t="n">
        <x:f>235</x:f>
        <x:v>235</x:v>
      </x:c>
      <x:c r="M241" s="84" t="n">
        <x:f>$C$14+(($H$8-$C$14)/$C$13)*L241</x:f>
        <x:v>-3.4545161379342133</x:v>
      </x:c>
      <x:c r="N241" s="84" t="n">
        <x:f>IF(OR(L241=0,L241=$C$13),1,IF(MOD(L241,2)=0,2,4))</x:f>
        <x:v>4</x:v>
      </x:c>
      <x:c r="O241" s="84" t="n">
        <x:f>NORM.S.DIST(M241,FALSE)*NORM.S.DIST(($H$10-$H$7*M241)/SQRT(1-$H$7^2),TRUE)</x:f>
        <x:v>0.001022020915669342</x:v>
      </x:c>
      <x:c r="P241" s="84" t="n">
        <x:f>N241*O241</x:f>
        <x:v>0.004088083662677368</x:v>
      </x:c>
      <x:c r="Q241" s="84" t="n">
        <x:f>$C$14+(($H$9-$C$14)/$C$13)*L241</x:f>
        <x:v>-3.557328637934214</x:v>
      </x:c>
      <x:c r="R241" s="84" t="n">
        <x:f>NORM.S.DIST(Q241,FALSE)*NORM.S.DIST(($H$11-$H$7*Q241)/SQRT(1-$H$7^2),TRUE)</x:f>
        <x:v>0.0007125120333782659</x:v>
      </x:c>
      <x:c r="S241" s="84" t="n">
        <x:f>N241*R241</x:f>
        <x:v>0.0028500481335130634</x:v>
      </x:c>
    </x:row>
    <x:row r="242">
      <x:c r="L242" s="64" t="n">
        <x:f>236</x:f>
        <x:v>236</x:v>
      </x:c>
      <x:c r="M242" s="84" t="n">
        <x:f>$C$14+(($H$8-$C$14)/$C$13)*L242</x:f>
        <x:v>-3.4351736534147843</x:v>
      </x:c>
      <x:c r="N242" s="84" t="n">
        <x:f>IF(OR(L242=0,L242=$C$13),1,IF(MOD(L242,2)=0,2,4))</x:f>
        <x:v>2</x:v>
      </x:c>
      <x:c r="O242" s="84" t="n">
        <x:f>NORM.S.DIST(M242,FALSE)*NORM.S.DIST(($H$10-$H$7*M242)/SQRT(1-$H$7^2),TRUE)</x:f>
        <x:v>0.0010924239929152244</x:v>
      </x:c>
      <x:c r="P242" s="84" t="n">
        <x:f>N242*O242</x:f>
        <x:v>0.0021848479858304487</x:v>
      </x:c>
      <x:c r="Q242" s="84" t="n">
        <x:f>$C$14+(($H$9-$C$14)/$C$13)*L242</x:f>
        <x:v>-3.5384236534147844</x:v>
      </x:c>
      <x:c r="R242" s="84" t="n">
        <x:f>NORM.S.DIST(Q242,FALSE)*NORM.S.DIST(($H$11-$H$7*Q242)/SQRT(1-$H$7^2),TRUE)</x:f>
        <x:v>0.000761915643370031</x:v>
      </x:c>
      <x:c r="S242" s="84" t="n">
        <x:f>N242*R242</x:f>
        <x:v>0.001523831286740062</x:v>
      </x:c>
    </x:row>
    <x:row r="243">
      <x:c r="L243" s="64" t="n">
        <x:f>237</x:f>
        <x:v>237</x:v>
      </x:c>
      <x:c r="M243" s="84" t="n">
        <x:f>$C$14+(($H$8-$C$14)/$C$13)*L243</x:f>
        <x:v>-3.415831168895356</x:v>
      </x:c>
      <x:c r="N243" s="84" t="n">
        <x:f>IF(OR(L243=0,L243=$C$13),1,IF(MOD(L243,2)=0,2,4))</x:f>
        <x:v>4</x:v>
      </x:c>
      <x:c r="O243" s="84" t="n">
        <x:f>NORM.S.DIST(M243,FALSE)*NORM.S.DIST(($H$10-$H$7*M243)/SQRT(1-$H$7^2),TRUE)</x:f>
        <x:v>0.001167238867446198</x:v>
      </x:c>
      <x:c r="P243" s="84" t="n">
        <x:f>N243*O243</x:f>
        <x:v>0.004668955469784792</x:v>
      </x:c>
      <x:c r="Q243" s="84" t="n">
        <x:f>$C$14+(($H$9-$C$14)/$C$13)*L243</x:f>
        <x:v>-3.5195186688953557</x:v>
      </x:c>
      <x:c r="R243" s="84" t="n">
        <x:f>NORM.S.DIST(Q243,FALSE)*NORM.S.DIST(($H$11-$H$7*Q243)/SQRT(1-$H$7^2),TRUE)</x:f>
        <x:v>0.0008144518788020108</x:v>
      </x:c>
      <x:c r="S243" s="84" t="n">
        <x:f>N243*R243</x:f>
        <x:v>0.003257807515208043</x:v>
      </x:c>
    </x:row>
    <x:row r="244">
      <x:c r="L244" s="64" t="n">
        <x:f>238</x:f>
        <x:v>238</x:v>
      </x:c>
      <x:c r="M244" s="84" t="n">
        <x:f>$C$14+(($H$8-$C$14)/$C$13)*L244</x:f>
        <x:v>-3.396488684375927</x:v>
      </x:c>
      <x:c r="N244" s="84" t="n">
        <x:f>IF(OR(L244=0,L244=$C$13),1,IF(MOD(L244,2)=0,2,4))</x:f>
        <x:v>2</x:v>
      </x:c>
      <x:c r="O244" s="84" t="n">
        <x:f>NORM.S.DIST(M244,FALSE)*NORM.S.DIST(($H$10-$H$7*M244)/SQRT(1-$H$7^2),TRUE)</x:f>
        <x:v>0.0012467095497017064</x:v>
      </x:c>
      <x:c r="P244" s="84" t="n">
        <x:f>N244*O244</x:f>
        <x:v>0.0024934190994034128</x:v>
      </x:c>
      <x:c r="Q244" s="84" t="n">
        <x:f>$C$14+(($H$9-$C$14)/$C$13)*L244</x:f>
        <x:v>-3.500613684375927</x:v>
      </x:c>
      <x:c r="R244" s="84" t="n">
        <x:f>NORM.S.DIST(Q244,FALSE)*NORM.S.DIST(($H$11-$H$7*Q244)/SQRT(1-$H$7^2),TRUE)</x:f>
        <x:v>0.0008702975615532155</x:v>
      </x:c>
      <x:c r="S244" s="84" t="n">
        <x:f>N244*R244</x:f>
        <x:v>0.001740595123106431</x:v>
      </x:c>
    </x:row>
    <x:row r="245">
      <x:c r="L245" s="64" t="n">
        <x:f>239</x:f>
        <x:v>239</x:v>
      </x:c>
      <x:c r="M245" s="84" t="n">
        <x:f>$C$14+(($H$8-$C$14)/$C$13)*L245</x:f>
        <x:v>-3.377146199856498</x:v>
      </x:c>
      <x:c r="N245" s="84" t="n">
        <x:f>IF(OR(L245=0,L245=$C$13),1,IF(MOD(L245,2)=0,2,4))</x:f>
        <x:v>4</x:v>
      </x:c>
      <x:c r="O245" s="84" t="n">
        <x:f>NORM.S.DIST(M245,FALSE)*NORM.S.DIST(($H$10-$H$7*M245)/SQRT(1-$H$7^2),TRUE)</x:f>
        <x:v>0.0013310912725229573</x:v>
      </x:c>
      <x:c r="P245" s="84" t="n">
        <x:f>N245*O245</x:f>
        <x:v>0.005324365090091829</x:v>
      </x:c>
      <x:c r="Q245" s="84" t="n">
        <x:f>$C$14+(($H$9-$C$14)/$C$13)*L245</x:f>
        <x:v>-3.4817086998564983</x:v>
      </x:c>
      <x:c r="R245" s="84" t="n">
        <x:f>NORM.S.DIST(Q245,FALSE)*NORM.S.DIST(($H$11-$H$7*Q245)/SQRT(1-$H$7^2),TRUE)</x:f>
        <x:v>0.0009296379525854451</x:v>
      </x:c>
      <x:c r="S245" s="84" t="n">
        <x:f>N245*R245</x:f>
        <x:v>0.0037185518103417803</x:v>
      </x:c>
    </x:row>
    <x:row r="246">
      <x:c r="L246" s="64" t="n">
        <x:f>240</x:f>
        <x:v>240</x:v>
      </x:c>
      <x:c r="M246" s="84" t="n">
        <x:f>$C$14+(($H$8-$C$14)/$C$13)*L246</x:f>
        <x:v>-3.3578037153370692</x:v>
      </x:c>
      <x:c r="N246" s="84" t="n">
        <x:f>IF(OR(L246=0,L246=$C$13),1,IF(MOD(L246,2)=0,2,4))</x:f>
        <x:v>2</x:v>
      </x:c>
      <x:c r="O246" s="84" t="n">
        <x:f>NORM.S.DIST(M246,FALSE)*NORM.S.DIST(($H$10-$H$7*M246)/SQRT(1-$H$7^2),TRUE)</x:f>
        <x:v>0.001420650855551962</x:v>
      </x:c>
      <x:c r="P246" s="84" t="n">
        <x:f>N246*O246</x:f>
        <x:v>0.002841301711103924</x:v>
      </x:c>
      <x:c r="Q246" s="84" t="n">
        <x:f>$C$14+(($H$9-$C$14)/$C$13)*L246</x:f>
        <x:v>-3.4628037153370697</x:v>
      </x:c>
      <x:c r="R246" s="84" t="n">
        <x:f>NORM.S.DIST(Q246,FALSE)*NORM.S.DIST(($H$11-$H$7*Q246)/SQRT(1-$H$7^2),TRUE)</x:f>
        <x:v>0.0009926670505435164</x:v>
      </x:c>
      <x:c r="S246" s="84" t="n">
        <x:f>N246*R246</x:f>
        <x:v>0.001985334101087033</x:v>
      </x:c>
    </x:row>
    <x:row r="247">
      <x:c r="L247" s="64" t="n">
        <x:f>241</x:f>
        <x:v>241</x:v>
      </x:c>
      <x:c r="M247" s="84" t="n">
        <x:f>$C$14+(($H$8-$C$14)/$C$13)*L247</x:f>
        <x:v>-3.3384612308176402</x:v>
      </x:c>
      <x:c r="N247" s="84" t="n">
        <x:f>IF(OR(L247=0,L247=$C$13),1,IF(MOD(L247,2)=0,2,4))</x:f>
        <x:v>4</x:v>
      </x:c>
      <x:c r="O247" s="84" t="n">
        <x:f>NORM.S.DIST(M247,FALSE)*NORM.S.DIST(($H$10-$H$7*M247)/SQRT(1-$H$7^2),TRUE)</x:f>
        <x:v>0.0015156670714033347</x:v>
      </x:c>
      <x:c r="P247" s="84" t="n">
        <x:f>N247*O247</x:f>
        <x:v>0.006062668285613339</x:v>
      </x:c>
      <x:c r="Q247" s="84" t="n">
        <x:f>$C$14+(($H$9-$C$14)/$C$13)*L247</x:f>
        <x:v>-3.44389873081764</x:v>
      </x:c>
      <x:c r="R247" s="84" t="n">
        <x:f>NORM.S.DIST(Q247,FALSE)*NORM.S.DIST(($H$11-$H$7*Q247)/SQRT(1-$H$7^2),TRUE)</x:f>
        <x:v>0.0010595878939453573</x:v>
      </x:c>
      <x:c r="S247" s="84" t="n">
        <x:f>N247*R247</x:f>
        <x:v>0.004238351575781429</x:v>
      </x:c>
    </x:row>
    <x:row r="248">
      <x:c r="L248" s="64" t="n">
        <x:f>242</x:f>
        <x:v>242</x:v>
      </x:c>
      <x:c r="M248" s="84" t="n">
        <x:f>$C$14+(($H$8-$C$14)/$C$13)*L248</x:f>
        <x:v>-3.3191187462982112</x:v>
      </x:c>
      <x:c r="N248" s="84" t="n">
        <x:f>IF(OR(L248=0,L248=$C$13),1,IF(MOD(L248,2)=0,2,4))</x:f>
        <x:v>2</x:v>
      </x:c>
      <x:c r="O248" s="84" t="n">
        <x:f>NORM.S.DIST(M248,FALSE)*NORM.S.DIST(($H$10-$H$7*M248)/SQRT(1-$H$7^2),TRUE)</x:f>
        <x:v>0.0016164310128210218</x:v>
      </x:c>
      <x:c r="P248" s="84" t="n">
        <x:f>N248*O248</x:f>
        <x:v>0.0032328620256420436</x:v>
      </x:c>
      <x:c r="Q248" s="84" t="n">
        <x:f>$C$14+(($H$9-$C$14)/$C$13)*L248</x:f>
        <x:v>-3.4249937462982114</x:v>
      </x:c>
      <x:c r="R248" s="84" t="n">
        <x:f>NORM.S.DIST(Q248,FALSE)*NORM.S.DIST(($H$11-$H$7*Q248)/SQRT(1-$H$7^2),TRUE)</x:f>
        <x:v>0.0011306128664700646</x:v>
      </x:c>
      <x:c r="S248" s="84" t="n">
        <x:f>N248*R248</x:f>
        <x:v>0.002261225732940129</x:v>
      </x:c>
    </x:row>
    <x:row r="249">
      <x:c r="L249" s="64" t="n">
        <x:f>243</x:f>
        <x:v>243</x:v>
      </x:c>
      <x:c r="M249" s="84" t="n">
        <x:f>$C$14+(($H$8-$C$14)/$C$13)*L249</x:f>
        <x:v>-3.2997762617787822</x:v>
      </x:c>
      <x:c r="N249" s="84" t="n">
        <x:f>IF(OR(L249=0,L249=$C$13),1,IF(MOD(L249,2)=0,2,4))</x:f>
        <x:v>4</x:v>
      </x:c>
      <x:c r="O249" s="84" t="n">
        <x:f>NORM.S.DIST(M249,FALSE)*NORM.S.DIST(($H$10-$H$7*M249)/SQRT(1-$H$7^2),TRUE)</x:f>
        <x:v>0.0017232464599709826</x:v>
      </x:c>
      <x:c r="P249" s="84" t="n">
        <x:f>N249*O249</x:f>
        <x:v>0.0068929858398839305</x:v>
      </x:c>
      <x:c r="Q249" s="84" t="n">
        <x:f>$C$14+(($H$9-$C$14)/$C$13)*L249</x:f>
        <x:v>-3.4060887617787827</x:v>
      </x:c>
      <x:c r="R249" s="84" t="n">
        <x:f>NORM.S.DIST(Q249,FALSE)*NORM.S.DIST(($H$11-$H$7*Q249)/SQRT(1-$H$7^2),TRUE)</x:f>
        <x:v>0.0012059640048050898</x:v>
      </x:c>
      <x:c r="S249" s="84" t="n">
        <x:f>N249*R249</x:f>
        <x:v>0.004823856019220359</x:v>
      </x:c>
    </x:row>
    <x:row r="250">
      <x:c r="L250" s="64" t="n">
        <x:f>244</x:f>
        <x:v>244</x:v>
      </x:c>
      <x:c r="M250" s="84" t="n">
        <x:f>$C$14+(($H$8-$C$14)/$C$13)*L250</x:f>
        <x:v>-3.2804337772593533</x:v>
      </x:c>
      <x:c r="N250" s="84" t="n">
        <x:f>IF(OR(L250=0,L250=$C$13),1,IF(MOD(L250,2)=0,2,4))</x:f>
        <x:v>2</x:v>
      </x:c>
      <x:c r="O250" s="84" t="n">
        <x:f>NORM.S.DIST(M250,FALSE)*NORM.S.DIST(($H$10-$H$7*M250)/SQRT(1-$H$7^2),TRUE)</x:f>
        <x:v>0.0018364302469578994</x:v>
      </x:c>
      <x:c r="P250" s="84" t="n">
        <x:f>N250*O250</x:f>
        <x:v>0.003672860493915799</x:v>
      </x:c>
      <x:c r="Q250" s="84" t="n">
        <x:f>$C$14+(($H$9-$C$14)/$C$13)*L250</x:f>
        <x:v>-3.387183777259354</x:v>
      </x:c>
      <x:c r="R250" s="84" t="n">
        <x:f>NORM.S.DIST(Q250,FALSE)*NORM.S.DIST(($H$11-$H$7*Q250)/SQRT(1-$H$7^2),TRUE)</x:f>
        <x:v>0.0012858733084645474</x:v>
      </x:c>
      <x:c r="S250" s="84" t="n">
        <x:f>N250*R250</x:f>
        <x:v>0.002571746616929095</x:v>
      </x:c>
    </x:row>
    <x:row r="251">
      <x:c r="L251" s="64" t="n">
        <x:f>245</x:f>
        <x:v>245</x:v>
      </x:c>
      <x:c r="M251" s="84" t="n">
        <x:f>$C$14+(($H$8-$C$14)/$C$13)*L251</x:f>
        <x:v>-3.261091292739925</x:v>
      </x:c>
      <x:c r="N251" s="84" t="n">
        <x:f>IF(OR(L251=0,L251=$C$13),1,IF(MOD(L251,2)=0,2,4))</x:f>
        <x:v>4</x:v>
      </x:c>
      <x:c r="O251" s="84" t="n">
        <x:f>NORM.S.DIST(M251,FALSE)*NORM.S.DIST(($H$10-$H$7*M251)/SQRT(1-$H$7^2),TRUE)</x:f>
        <x:v>0.0019563126265891282</x:v>
      </x:c>
      <x:c r="P251" s="84" t="n">
        <x:f>N251*O251</x:f>
        <x:v>0.007825250506356513</x:v>
      </x:c>
      <x:c r="Q251" s="84" t="n">
        <x:f>$C$14+(($H$9-$C$14)/$C$13)*L251</x:f>
        <x:v>-3.3682787927399245</x:v>
      </x:c>
      <x:c r="R251" s="84" t="n">
        <x:f>NORM.S.DIST(Q251,FALSE)*NORM.S.DIST(($H$11-$H$7*Q251)/SQRT(1-$H$7^2),TRUE)</x:f>
        <x:v>0.0013705830509398507</x:v>
      </x:c>
      <x:c r="S251" s="84" t="n">
        <x:f>N251*R251</x:f>
        <x:v>0.005482332203759403</x:v>
      </x:c>
    </x:row>
    <x:row r="252">
      <x:c r="L252" s="64" t="n">
        <x:f>246</x:f>
        <x:v>246</x:v>
      </x:c>
      <x:c r="M252" s="84" t="n">
        <x:f>$C$14+(($H$8-$C$14)/$C$13)*L252</x:f>
        <x:v>-3.241748808220496</x:v>
      </x:c>
      <x:c r="N252" s="84" t="n">
        <x:f>IF(OR(L252=0,L252=$C$13),1,IF(MOD(L252,2)=0,2,4))</x:f>
        <x:v>2</x:v>
      </x:c>
      <x:c r="O252" s="84" t="n">
        <x:f>NORM.S.DIST(M252,FALSE)*NORM.S.DIST(($H$10-$H$7*M252)/SQRT(1-$H$7^2),TRUE)</x:f>
        <x:v>0.0020832376323427168</x:v>
      </x:c>
      <x:c r="P252" s="84" t="n">
        <x:f>N252*O252</x:f>
        <x:v>0.0041664752646854335</x:v>
      </x:c>
      <x:c r="Q252" s="84" t="n">
        <x:f>$C$14+(($H$9-$C$14)/$C$13)*L252</x:f>
        <x:v>-3.349373808220496</x:v>
      </x:c>
      <x:c r="R252" s="84" t="n">
        <x:f>NORM.S.DIST(Q252,FALSE)*NORM.S.DIST(($H$11-$H$7*Q252)/SQRT(1-$H$7^2),TRUE)</x:f>
        <x:v>0.0014603460914909376</x:v>
      </x:c>
      <x:c r="S252" s="84" t="n">
        <x:f>N252*R252</x:f>
        <x:v>0.0029206921829818752</x:v>
      </x:c>
    </x:row>
    <x:row r="253">
      <x:c r="L253" s="64" t="n">
        <x:f>247</x:f>
        <x:v>247</x:v>
      </x:c>
      <x:c r="M253" s="84" t="n">
        <x:f>$C$14+(($H$8-$C$14)/$C$13)*L253</x:f>
        <x:v>-3.222406323701067</x:v>
      </x:c>
      <x:c r="N253" s="84" t="n">
        <x:f>IF(OR(L253=0,L253=$C$13),1,IF(MOD(L253,2)=0,2,4))</x:f>
        <x:v>4</x:v>
      </x:c>
      <x:c r="O253" s="84" t="n">
        <x:f>NORM.S.DIST(M253,FALSE)*NORM.S.DIST(($H$10-$H$7*M253)/SQRT(1-$H$7^2),TRUE)</x:f>
        <x:v>0.002217563436427966</x:v>
      </x:c>
      <x:c r="P253" s="84" t="n">
        <x:f>N253*O253</x:f>
        <x:v>0.008870253745711864</x:v>
      </x:c>
      <x:c r="Q253" s="84" t="n">
        <x:f>$C$14+(($H$9-$C$14)/$C$13)*L253</x:f>
        <x:v>-3.330468823701067</x:v>
      </x:c>
      <x:c r="R253" s="84" t="n">
        <x:f>NORM.S.DIST(Q253,FALSE)*NORM.S.DIST(($H$11-$H$7*Q253)/SQRT(1-$H$7^2),TRUE)</x:f>
        <x:v>0.0015554261868316697</x:v>
      </x:c>
      <x:c r="S253" s="84" t="n">
        <x:f>N253*R253</x:f>
        <x:v>0.006221704747326679</x:v>
      </x:c>
    </x:row>
    <x:row r="254">
      <x:c r="L254" s="64" t="n">
        <x:f>248</x:f>
        <x:v>248</x:v>
      </x:c>
      <x:c r="M254" s="84" t="n">
        <x:f>$C$14+(($H$8-$C$14)/$C$13)*L254</x:f>
        <x:v>-3.203063839181638</x:v>
      </x:c>
      <x:c r="N254" s="84" t="n">
        <x:f>IF(OR(L254=0,L254=$C$13),1,IF(MOD(L254,2)=0,2,4))</x:f>
        <x:v>2</x:v>
      </x:c>
      <x:c r="O254" s="84" t="n">
        <x:f>NORM.S.DIST(M254,FALSE)*NORM.S.DIST(($H$10-$H$7*M254)/SQRT(1-$H$7^2),TRUE)</x:f>
        <x:v>0.0023596627027577008</x:v>
      </x:c>
      <x:c r="P254" s="84" t="n">
        <x:f>N254*O254</x:f>
        <x:v>0.0047193254055154015</x:v>
      </x:c>
      <x:c r="Q254" s="84" t="n">
        <x:f>$C$14+(($H$9-$C$14)/$C$13)*L254</x:f>
        <x:v>-3.3115638391816384</x:v>
      </x:c>
      <x:c r="R254" s="84" t="n">
        <x:f>NORM.S.DIST(Q254,FALSE)*NORM.S.DIST(($H$11-$H$7*Q254)/SQRT(1-$H$7^2),TRUE)</x:f>
        <x:v>0.00165609830190632</x:v>
      </x:c>
      <x:c r="S254" s="84" t="n">
        <x:f>N254*R254</x:f>
        <x:v>0.00331219660381264</x:v>
      </x:c>
    </x:row>
    <x:row r="255">
      <x:c r="L255" s="64" t="n">
        <x:f>249</x:f>
        <x:v>249</x:v>
      </x:c>
      <x:c r="M255" s="84" t="n">
        <x:f>$C$14+(($H$8-$C$14)/$C$13)*L255</x:f>
        <x:v>-3.183721354662209</x:v>
      </x:c>
      <x:c r="N255" s="84" t="n">
        <x:f>IF(OR(L255=0,L255=$C$13),1,IF(MOD(L255,2)=0,2,4))</x:f>
        <x:v>4</x:v>
      </x:c>
      <x:c r="O255" s="84" t="n">
        <x:f>NORM.S.DIST(M255,FALSE)*NORM.S.DIST(($H$10-$H$7*M255)/SQRT(1-$H$7^2),TRUE)</x:f>
        <x:v>0.0025099229335801485</x:v>
      </x:c>
      <x:c r="P255" s="84" t="n">
        <x:f>N255*O255</x:f>
        <x:v>0.010039691734320594</x:v>
      </x:c>
      <x:c r="Q255" s="84" t="n">
        <x:f>$C$14+(($H$9-$C$14)/$C$13)*L255</x:f>
        <x:v>-3.2926588546622098</x:v>
      </x:c>
      <x:c r="R255" s="84" t="n">
        <x:f>NORM.S.DIST(Q255,FALSE)*NORM.S.DIST(($H$11-$H$7*Q255)/SQRT(1-$H$7^2),TRUE)</x:f>
        <x:v>0.0017626489188958246</x:v>
      </x:c>
      <x:c r="S255" s="84" t="n">
        <x:f>N255*R255</x:f>
        <x:v>0.007050595675583298</x:v>
      </x:c>
    </x:row>
    <x:row r="256">
      <x:c r="L256" s="64" t="n">
        <x:f>250</x:f>
        <x:v>250</x:v>
      </x:c>
      <x:c r="M256" s="84" t="n">
        <x:f>$C$14+(($H$8-$C$14)/$C$13)*L256</x:f>
        <x:v>-3.16437887014278</x:v>
      </x:c>
      <x:c r="N256" s="84" t="n">
        <x:f>IF(OR(L256=0,L256=$C$13),1,IF(MOD(L256,2)=0,2,4))</x:f>
        <x:v>2</x:v>
      </x:c>
      <x:c r="O256" s="84" t="n">
        <x:f>NORM.S.DIST(M256,FALSE)*NORM.S.DIST(($H$10-$H$7*M256)/SQRT(1-$H$7^2),TRUE)</x:f>
        <x:v>0.0026687468084462328</x:v>
      </x:c>
      <x:c r="P256" s="84" t="n">
        <x:f>N256*O256</x:f>
        <x:v>0.0053374936168924655</x:v>
      </x:c>
      <x:c r="Q256" s="84" t="n">
        <x:f>$C$14+(($H$9-$C$14)/$C$13)*L256</x:f>
        <x:v>-3.27375387014278</x:v>
      </x:c>
      <x:c r="R256" s="84" t="n">
        <x:f>NORM.S.DIST(Q256,FALSE)*NORM.S.DIST(($H$11-$H$7*Q256)/SQRT(1-$H$7^2),TRUE)</x:f>
        <x:v>0.0018753763435323402</x:v>
      </x:c>
      <x:c r="S256" s="84" t="n">
        <x:f>N256*R256</x:f>
        <x:v>0.0037507526870646803</x:v>
      </x:c>
    </x:row>
    <x:row r="257">
      <x:c r="L257" s="64" t="n">
        <x:f>251</x:f>
        <x:v>251</x:v>
      </x:c>
      <x:c r="M257" s="84" t="n">
        <x:f>$C$14+(($H$8-$C$14)/$C$13)*L257</x:f>
        <x:v>-3.145036385623351</x:v>
      </x:c>
      <x:c r="N257" s="84" t="n">
        <x:f>IF(OR(L257=0,L257=$C$13),1,IF(MOD(L257,2)=0,2,4))</x:f>
        <x:v>4</x:v>
      </x:c>
      <x:c r="O257" s="84" t="n">
        <x:f>NORM.S.DIST(M257,FALSE)*NORM.S.DIST(($H$10-$H$7*M257)/SQRT(1-$H$7^2),TRUE)</x:f>
        <x:v>0.0028365525141147542</x:v>
      </x:c>
      <x:c r="P257" s="84" t="n">
        <x:f>N257*O257</x:f>
        <x:v>0.011346210056459017</x:v>
      </x:c>
      <x:c r="Q257" s="84" t="n">
        <x:f>$C$14+(($H$9-$C$14)/$C$13)*L257</x:f>
        <x:v>-3.2548488856233515</x:v>
      </x:c>
      <x:c r="R257" s="84" t="n">
        <x:f>NORM.S.DIST(Q257,FALSE)*NORM.S.DIST(($H$11-$H$7*Q257)/SQRT(1-$H$7^2),TRUE)</x:f>
        <x:v>0.0019945910077390073</x:v>
      </x:c>
      <x:c r="S257" s="84" t="n">
        <x:f>N257*R257</x:f>
        <x:v>0.00797836403095603</x:v>
      </x:c>
    </x:row>
    <x:row r="258">
      <x:c r="L258" s="64" t="n">
        <x:f>252</x:f>
        <x:v>252</x:v>
      </x:c>
      <x:c r="M258" s="84" t="n">
        <x:f>$C$14+(($H$8-$C$14)/$C$13)*L258</x:f>
        <x:v>-3.125693901103922</x:v>
      </x:c>
      <x:c r="N258" s="84" t="n">
        <x:f>IF(OR(L258=0,L258=$C$13),1,IF(MOD(L258,2)=0,2,4))</x:f>
        <x:v>2</x:v>
      </x:c>
      <x:c r="O258" s="84" t="n">
        <x:f>NORM.S.DIST(M258,FALSE)*NORM.S.DIST(($H$10-$H$7*M258)/SQRT(1-$H$7^2),TRUE)</x:f>
        <x:v>0.003013774063923763</x:v>
      </x:c>
      <x:c r="P258" s="84" t="n">
        <x:f>N258*O258</x:f>
        <x:v>0.006027548127847526</x:v>
      </x:c>
      <x:c r="Q258" s="84" t="n">
        <x:f>$C$14+(($H$9-$C$14)/$C$13)*L258</x:f>
        <x:v>-3.235943901103923</x:v>
      </x:c>
      <x:c r="R258" s="84" t="n">
        <x:f>NORM.S.DIST(Q258,FALSE)*NORM.S.DIST(($H$11-$H$7*Q258)/SQRT(1-$H$7^2),TRUE)</x:f>
        <x:v>0.002120615767548697</x:v>
      </x:c>
      <x:c r="S258" s="84" t="n">
        <x:f>N258*R258</x:f>
        <x:v>0.004241231535097394</x:v>
      </x:c>
    </x:row>
    <x:row r="259">
      <x:c r="L259" s="64" t="n">
        <x:f>253</x:f>
        <x:v>253</x:v>
      </x:c>
      <x:c r="M259" s="84" t="n">
        <x:f>$C$14+(($H$8-$C$14)/$C$13)*L259</x:f>
        <x:v>-3.106351416584494</x:v>
      </x:c>
      <x:c r="N259" s="84" t="n">
        <x:f>IF(OR(L259=0,L259=$C$13),1,IF(MOD(L259,2)=0,2,4))</x:f>
        <x:v>4</x:v>
      </x:c>
      <x:c r="O259" s="84" t="n">
        <x:f>NORM.S.DIST(M259,FALSE)*NORM.S.DIST(($H$10-$H$7*M259)/SQRT(1-$H$7^2),TRUE)</x:f>
        <x:v>0.0032008616050815193</x:v>
      </x:c>
      <x:c r="P259" s="84" t="n">
        <x:f>N259*O259</x:f>
        <x:v>0.012803446420326077</x:v>
      </x:c>
      <x:c r="Q259" s="84" t="n">
        <x:f>$C$14+(($H$9-$C$14)/$C$13)*L259</x:f>
        <x:v>-3.217038916584494</x:v>
      </x:c>
      <x:c r="R259" s="84" t="n">
        <x:f>NORM.S.DIST(Q259,FALSE)*NORM.S.DIST(($H$11-$H$7*Q259)/SQRT(1-$H$7^2),TRUE)</x:f>
        <x:v>0.0022537861951907176</x:v>
      </x:c>
      <x:c r="S259" s="84" t="n">
        <x:f>N259*R259</x:f>
        <x:v>0.00901514478076287</x:v>
      </x:c>
    </x:row>
    <x:row r="260">
      <x:c r="L260" s="64" t="n">
        <x:f>254</x:f>
        <x:v>254</x:v>
      </x:c>
      <x:c r="M260" s="84" t="n">
        <x:f>$C$14+(($H$8-$C$14)/$C$13)*L260</x:f>
        <x:v>-3.087008932065065</x:v>
      </x:c>
      <x:c r="N260" s="84" t="n">
        <x:f>IF(OR(L260=0,L260=$C$13),1,IF(MOD(L260,2)=0,2,4))</x:f>
        <x:v>2</x:v>
      </x:c>
      <x:c r="O260" s="84" t="n">
        <x:f>NORM.S.DIST(M260,FALSE)*NORM.S.DIST(($H$10-$H$7*M260)/SQRT(1-$H$7^2),TRUE)</x:f>
        <x:v>0.0033982817122550483</x:v>
      </x:c>
      <x:c r="P260" s="84" t="n">
        <x:f>N260*O260</x:f>
        <x:v>0.006796563424510097</x:v>
      </x:c>
      <x:c r="Q260" s="84" t="n">
        <x:f>$C$14+(($H$9-$C$14)/$C$13)*L260</x:f>
        <x:v>-3.1981339320650646</x:v>
      </x:c>
      <x:c r="R260" s="84" t="n">
        <x:f>NORM.S.DIST(Q260,FALSE)*NORM.S.DIST(($H$11-$H$7*Q260)/SQRT(1-$H$7^2),TRUE)</x:f>
        <x:v>0.0023944508641688257</x:v>
      </x:c>
      <x:c r="S260" s="84" t="n">
        <x:f>N260*R260</x:f>
        <x:v>0.004788901728337651</x:v>
      </x:c>
    </x:row>
    <x:row r="261">
      <x:c r="L261" s="64" t="n">
        <x:f>255</x:f>
        <x:v>255</x:v>
      </x:c>
      <x:c r="M261" s="84" t="n">
        <x:f>$C$14+(($H$8-$C$14)/$C$13)*L261</x:f>
        <x:v>-3.067666447545636</x:v>
      </x:c>
      <x:c r="N261" s="84" t="n">
        <x:f>IF(OR(L261=0,L261=$C$13),1,IF(MOD(L261,2)=0,2,4))</x:f>
        <x:v>4</x:v>
      </x:c>
      <x:c r="O261" s="84" t="n">
        <x:f>NORM.S.DIST(M261,FALSE)*NORM.S.DIST(($H$10-$H$7*M261)/SQRT(1-$H$7^2),TRUE)</x:f>
        <x:v>0.003606517665758553</x:v>
      </x:c>
      <x:c r="P261" s="84" t="n">
        <x:f>N261*O261</x:f>
        <x:v>0.014426070663034212</x:v>
      </x:c>
      <x:c r="Q261" s="84" t="n">
        <x:f>$C$14+(($H$9-$C$14)/$C$13)*L261</x:f>
        <x:v>-3.179228947545636</x:v>
      </x:c>
      <x:c r="R261" s="84" t="n">
        <x:f>NORM.S.DIST(Q261,FALSE)*NORM.S.DIST(($H$11-$H$7*Q261)/SQRT(1-$H$7^2),TRUE)</x:f>
        <x:v>0.0025429716260866792</x:v>
      </x:c>
      <x:c r="S261" s="84" t="n">
        <x:f>N261*R261</x:f>
        <x:v>0.010171886504346717</x:v>
      </x:c>
    </x:row>
    <x:row r="262">
      <x:c r="L262" s="64" t="n">
        <x:f>256</x:f>
        <x:v>256</x:v>
      </x:c>
      <x:c r="M262" s="84" t="n">
        <x:f>$C$14+(($H$8-$C$14)/$C$13)*L262</x:f>
        <x:v>-3.048323963026207</x:v>
      </x:c>
      <x:c r="N262" s="84" t="n">
        <x:f>IF(OR(L262=0,L262=$C$13),1,IF(MOD(L262,2)=0,2,4))</x:f>
        <x:v>2</x:v>
      </x:c>
      <x:c r="O262" s="84" t="n">
        <x:f>NORM.S.DIST(M262,FALSE)*NORM.S.DIST(($H$10-$H$7*M262)/SQRT(1-$H$7^2),TRUE)</x:f>
        <x:v>0.003826069712568461</x:v>
      </x:c>
      <x:c r="P262" s="84" t="n">
        <x:f>N262*O262</x:f>
        <x:v>0.007652139425136922</x:v>
      </x:c>
      <x:c r="Q262" s="84" t="n">
        <x:f>$C$14+(($H$9-$C$14)/$C$13)*L262</x:f>
        <x:v>-3.160323963026207</x:v>
      </x:c>
      <x:c r="R262" s="84" t="n">
        <x:f>NORM.S.DIST(Q262,FALSE)*NORM.S.DIST(($H$11-$H$7*Q262)/SQRT(1-$H$7^2),TRUE)</x:f>
        <x:v>0.002699723877909004</x:v>
      </x:c>
      <x:c r="S262" s="84" t="n">
        <x:f>N262*R262</x:f>
        <x:v>0.005399447755818008</x:v>
      </x:c>
    </x:row>
    <x:row r="263">
      <x:c r="L263" s="64" t="n">
        <x:f>257</x:f>
        <x:v>257</x:v>
      </x:c>
      <x:c r="M263" s="84" t="n">
        <x:f>$C$14+(($H$8-$C$14)/$C$13)*L263</x:f>
        <x:v>-3.028981478506778</x:v>
      </x:c>
      <x:c r="N263" s="84" t="n">
        <x:f>IF(OR(L263=0,L263=$C$13),1,IF(MOD(L263,2)=0,2,4))</x:f>
        <x:v>4</x:v>
      </x:c>
      <x:c r="O263" s="84" t="n">
        <x:f>NORM.S.DIST(M263,FALSE)*NORM.S.DIST(($H$10-$H$7*M263)/SQRT(1-$H$7^2),TRUE)</x:f>
        <x:v>0.0040574553083162</x:v>
      </x:c>
      <x:c r="P263" s="84" t="n">
        <x:f>N263*O263</x:f>
        <x:v>0.0162298212332648</x:v>
      </x:c>
      <x:c r="Q263" s="84" t="n">
        <x:f>$C$14+(($H$9-$C$14)/$C$13)*L263</x:f>
        <x:v>-3.1414189785067785</x:v>
      </x:c>
      <x:c r="R263" s="84" t="n">
        <x:f>NORM.S.DIST(Q263,FALSE)*NORM.S.DIST(($H$11-$H$7*Q263)/SQRT(1-$H$7^2),TRUE)</x:f>
        <x:v>0.0028650968182777933</x:v>
      </x:c>
      <x:c r="S263" s="84" t="n">
        <x:f>N263*R263</x:f>
        <x:v>0.011460387273111173</x:v>
      </x:c>
    </x:row>
    <x:row r="264">
      <x:c r="L264" s="64" t="n">
        <x:f>258</x:f>
        <x:v>258</x:v>
      </x:c>
      <x:c r="M264" s="84" t="n">
        <x:f>$C$14+(($H$8-$C$14)/$C$13)*L264</x:f>
        <x:v>-3.009638993987349</x:v>
      </x:c>
      <x:c r="N264" s="84" t="n">
        <x:f>IF(OR(L264=0,L264=$C$13),1,IF(MOD(L264,2)=0,2,4))</x:f>
        <x:v>2</x:v>
      </x:c>
      <x:c r="O264" s="84" t="n">
        <x:f>NORM.S.DIST(M264,FALSE)*NORM.S.DIST(($H$10-$H$7*M264)/SQRT(1-$H$7^2),TRUE)</x:f>
        <x:v>0.00430120933833511</x:v>
      </x:c>
      <x:c r="P264" s="84" t="n">
        <x:f>N264*O264</x:f>
        <x:v>0.00860241867667022</x:v>
      </x:c>
      <x:c r="Q264" s="84" t="n">
        <x:f>$C$14+(($H$9-$C$14)/$C$13)*L264</x:f>
        <x:v>-3.12251399398735</x:v>
      </x:c>
      <x:c r="R264" s="84" t="n">
        <x:f>NORM.S.DIST(Q264,FALSE)*NORM.S.DIST(($H$11-$H$7*Q264)/SQRT(1-$H$7^2),TRUE)</x:f>
        <x:v>0.003039493691433734</x:v>
      </x:c>
      <x:c r="S264" s="84" t="n">
        <x:f>N264*R264</x:f>
        <x:v>0.006078987382867468</x:v>
      </x:c>
    </x:row>
    <x:row r="265">
      <x:c r="L265" s="64" t="n">
        <x:f>259</x:f>
        <x:v>259</x:v>
      </x:c>
      <x:c r="M265" s="84" t="n">
        <x:f>$C$14+(($H$8-$C$14)/$C$13)*L265</x:f>
        <x:v>-2.99029650946792</x:v>
      </x:c>
      <x:c r="N265" s="84" t="n">
        <x:f>IF(OR(L265=0,L265=$C$13),1,IF(MOD(L265,2)=0,2,4))</x:f>
        <x:v>4</x:v>
      </x:c>
      <x:c r="O265" s="84" t="n">
        <x:f>NORM.S.DIST(M265,FALSE)*NORM.S.DIST(($H$10-$H$7*M265)/SQRT(1-$H$7^2),TRUE)</x:f>
        <x:v>0.004557884315763513</x:v>
      </x:c>
      <x:c r="P265" s="84" t="n">
        <x:f>N265*O265</x:f>
        <x:v>0.018231537263054053</x:v>
      </x:c>
      <x:c r="Q265" s="84" t="n">
        <x:f>$C$14+(($H$9-$C$14)/$C$13)*L265</x:f>
        <x:v>-3.1036090094679203</x:v>
      </x:c>
      <x:c r="R265" s="84" t="n">
        <x:f>NORM.S.DIST(Q265,FALSE)*NORM.S.DIST(($H$11-$H$7*Q265)/SQRT(1-$H$7^2),TRUE)</x:f>
        <x:v>0.0032233320172229455</x:v>
      </x:c>
      <x:c r="S265" s="84" t="n">
        <x:f>N265*R265</x:f>
        <x:v>0.012893328068891782</x:v>
      </x:c>
    </x:row>
    <x:row r="266">
      <x:c r="L266" s="64" t="n">
        <x:f>260</x:f>
        <x:v>260</x:v>
      </x:c>
      <x:c r="M266" s="84" t="n">
        <x:f>$C$14+(($H$8-$C$14)/$C$13)*L266</x:f>
        <x:v>-2.970954024948492</x:v>
      </x:c>
      <x:c r="N266" s="84" t="n">
        <x:f>IF(OR(L266=0,L266=$C$13),1,IF(MOD(L266,2)=0,2,4))</x:f>
        <x:v>2</x:v>
      </x:c>
      <x:c r="O266" s="84" t="n">
        <x:f>NORM.S.DIST(M266,FALSE)*NORM.S.DIST(($H$10-$H$7*M266)/SQRT(1-$H$7^2),TRUE)</x:f>
        <x:v>0.004828050554633418</x:v>
      </x:c>
      <x:c r="P266" s="84" t="n">
        <x:f>N266*O266</x:f>
        <x:v>0.009656101109266835</x:v>
      </x:c>
      <x:c r="Q266" s="84" t="n">
        <x:f>$C$14+(($H$9-$C$14)/$C$13)*L266</x:f>
        <x:v>-3.0847040249484916</x:v>
      </x:c>
      <x:c r="R266" s="84" t="n">
        <x:f>NORM.S.DIST(Q266,FALSE)*NORM.S.DIST(($H$11-$H$7*Q266)/SQRT(1-$H$7^2),TRUE)</x:f>
        <x:v>0.003417043805599567</x:v>
      </x:c>
      <x:c r="S266" s="84" t="n">
        <x:f>N266*R266</x:f>
        <x:v>0.006834087611199134</x:v>
      </x:c>
    </x:row>
    <x:row r="267">
      <x:c r="L267" s="64" t="n">
        <x:f>261</x:f>
        <x:v>261</x:v>
      </x:c>
      <x:c r="M267" s="84" t="n">
        <x:f>$C$14+(($H$8-$C$14)/$C$13)*L267</x:f>
        <x:v>-2.951611540429063</x:v>
      </x:c>
      <x:c r="N267" s="84" t="n">
        <x:f>IF(OR(L267=0,L267=$C$13),1,IF(MOD(L267,2)=0,2,4))</x:f>
        <x:v>4</x:v>
      </x:c>
      <x:c r="O267" s="84" t="n">
        <x:f>NORM.S.DIST(M267,FALSE)*NORM.S.DIST(($H$10-$H$7*M267)/SQRT(1-$H$7^2),TRUE)</x:f>
        <x:v>0.005112296315802605</x:v>
      </x:c>
      <x:c r="P267" s="84" t="n">
        <x:f>N267*O267</x:f>
        <x:v>0.02044918526321042</x:v>
      </x:c>
      <x:c r="Q267" s="84" t="n">
        <x:f>$C$14+(($H$9-$C$14)/$C$13)*L267</x:f>
        <x:v>-3.065799040429063</x:v>
      </x:c>
      <x:c r="R267" s="84" t="n">
        <x:f>NORM.S.DIST(Q267,FALSE)*NORM.S.DIST(($H$11-$H$7*Q267)/SQRT(1-$H$7^2),TRUE)</x:f>
        <x:v>0.0036210757539647193</x:v>
      </x:c>
      <x:c r="S267" s="84" t="n">
        <x:f>N267*R267</x:f>
        <x:v>0.014484303015858877</x:v>
      </x:c>
    </x:row>
    <x:row r="268">
      <x:c r="L268" s="64" t="n">
        <x:f>262</x:f>
        <x:v>262</x:v>
      </x:c>
      <x:c r="M268" s="84" t="n">
        <x:f>$C$14+(($H$8-$C$14)/$C$13)*L268</x:f>
        <x:v>-2.932269055909634</x:v>
      </x:c>
      <x:c r="N268" s="84" t="n">
        <x:f>IF(OR(L268=0,L268=$C$13),1,IF(MOD(L268,2)=0,2,4))</x:f>
        <x:v>2</x:v>
      </x:c>
      <x:c r="O268" s="84" t="n">
        <x:f>NORM.S.DIST(M268,FALSE)*NORM.S.DIST(($H$10-$H$7*M268)/SQRT(1-$H$7^2),TRUE)</x:f>
        <x:v>0.005411227923518299</x:v>
      </x:c>
      <x:c r="P268" s="84" t="n">
        <x:f>N268*O268</x:f>
        <x:v>0.010822455847036599</x:v>
      </x:c>
      <x:c r="Q268" s="84" t="n">
        <x:f>$C$14+(($H$9-$C$14)/$C$13)*L268</x:f>
        <x:v>-3.0468940559096342</x:v>
      </x:c>
      <x:c r="R268" s="84" t="n">
        <x:f>NORM.S.DIST(Q268,FALSE)*NORM.S.DIST(($H$11-$H$7*Q268)/SQRT(1-$H$7^2),TRUE)</x:f>
        <x:v>0.003835889425612992</x:v>
      </x:c>
      <x:c r="S268" s="84" t="n">
        <x:f>N268*R268</x:f>
        <x:v>0.007671778851225984</x:v>
      </x:c>
    </x:row>
    <x:row r="269">
      <x:c r="L269" s="64" t="n">
        <x:f>263</x:f>
        <x:v>263</x:v>
      </x:c>
      <x:c r="M269" s="84" t="n">
        <x:f>$C$14+(($H$8-$C$14)/$C$13)*L269</x:f>
        <x:v>-2.912926571390205</x:v>
      </x:c>
      <x:c r="N269" s="84" t="n">
        <x:f>IF(OR(L269=0,L269=$C$13),1,IF(MOD(L269,2)=0,2,4))</x:f>
        <x:v>4</x:v>
      </x:c>
      <x:c r="O269" s="84" t="n">
        <x:f>NORM.S.DIST(M269,FALSE)*NORM.S.DIST(($H$10-$H$7*M269)/SQRT(1-$H$7^2),TRUE)</x:f>
        <x:v>0.005725469850333594</x:v>
      </x:c>
      <x:c r="P269" s="84" t="n">
        <x:f>N269*O269</x:f>
        <x:v>0.022901879401334375</x:v>
      </x:c>
      <x:c r="Q269" s="84" t="n">
        <x:f>$C$14+(($H$9-$C$14)/$C$13)*L269</x:f>
        <x:v>-3.0279890713902047</x:v>
      </x:c>
      <x:c r="R269" s="84" t="n">
        <x:f>NORM.S.DIST(Q269,FALSE)*NORM.S.DIST(($H$11-$H$7*Q269)/SQRT(1-$H$7^2),TRUE)</x:f>
        <x:v>0.004061961407489034</x:v>
      </x:c>
      <x:c r="S269" s="84" t="n">
        <x:f>N269*R269</x:f>
        <x:v>0.016247845629956136</x:v>
      </x:c>
    </x:row>
    <x:row r="270">
      <x:c r="L270" s="64" t="n">
        <x:f>264</x:f>
        <x:v>264</x:v>
      </x:c>
      <x:c r="M270" s="84" t="n">
        <x:f>$C$14+(($H$8-$C$14)/$C$13)*L270</x:f>
        <x:v>-2.893584086870776</x:v>
      </x:c>
      <x:c r="N270" s="84" t="n">
        <x:f>IF(OR(L270=0,L270=$C$13),1,IF(MOD(L270,2)=0,2,4))</x:f>
        <x:v>2</x:v>
      </x:c>
      <x:c r="O270" s="84" t="n">
        <x:f>NORM.S.DIST(M270,FALSE)*NORM.S.DIST(($H$10-$H$7*M270)/SQRT(1-$H$7^2),TRUE)</x:f>
        <x:v>0.0060556647680329164</x:v>
      </x:c>
      <x:c r="P270" s="84" t="n">
        <x:f>N270*O270</x:f>
        <x:v>0.012111329536065833</x:v>
      </x:c>
      <x:c r="Q270" s="84" t="n">
        <x:f>$C$14+(($H$9-$C$14)/$C$13)*L270</x:f>
        <x:v>-3.009084086870776</x:v>
      </x:c>
      <x:c r="R270" s="84" t="n">
        <x:f>NORM.S.DIST(Q270,FALSE)*NORM.S.DIST(($H$11-$H$7*Q270)/SQRT(1-$H$7^2),TRUE)</x:f>
        <x:v>0.004299783445389055</x:v>
      </x:c>
      <x:c r="S270" s="84" t="n">
        <x:f>N270*R270</x:f>
        <x:v>0.00859956689077811</x:v>
      </x:c>
    </x:row>
    <x:row r="271">
      <x:c r="L271" s="64" t="n">
        <x:f>265</x:f>
        <x:v>265</x:v>
      </x:c>
      <x:c r="M271" s="84" t="n">
        <x:f>$C$14+(($H$8-$C$14)/$C$13)*L271</x:f>
        <x:v>-2.874241602351347</x:v>
      </x:c>
      <x:c r="N271" s="84" t="n">
        <x:f>IF(OR(L271=0,L271=$C$13),1,IF(MOD(L271,2)=0,2,4))</x:f>
        <x:v>4</x:v>
      </x:c>
      <x:c r="O271" s="84" t="n">
        <x:f>NORM.S.DIST(M271,FALSE)*NORM.S.DIST(($H$10-$H$7*M271)/SQRT(1-$H$7^2),TRUE)</x:f>
        <x:v>0.0064024735621614134</x:v>
      </x:c>
      <x:c r="P271" s="84" t="n">
        <x:f>N271*O271</x:f>
        <x:v>0.025609894248645654</x:v>
      </x:c>
      <x:c r="Q271" s="84" t="n">
        <x:f>$C$14+(($H$9-$C$14)/$C$13)*L271</x:f>
        <x:v>-2.9901791023513473</x:v>
      </x:c>
      <x:c r="R271" s="84" t="n">
        <x:f>NORM.S.DIST(Q271,FALSE)*NORM.S.DIST(($H$11-$H$7*Q271)/SQRT(1-$H$7^2),TRUE)</x:f>
        <x:v>0.004549862554675997</x:v>
      </x:c>
      <x:c r="S271" s="84" t="n">
        <x:f>N271*R271</x:f>
        <x:v>0.018199450218703988</x:v>
      </x:c>
    </x:row>
    <x:row r="272">
      <x:c r="L272" s="64" t="n">
        <x:f>266</x:f>
        <x:v>266</x:v>
      </x:c>
      <x:c r="M272" s="84" t="n">
        <x:f>$C$14+(($H$8-$C$14)/$C$13)*L272</x:f>
        <x:v>-2.854899117831918</x:v>
      </x:c>
      <x:c r="N272" s="84" t="n">
        <x:f>IF(OR(L272=0,L272=$C$13),1,IF(MOD(L272,2)=0,2,4))</x:f>
        <x:v>2</x:v>
      </x:c>
      <x:c r="O272" s="84" t="n">
        <x:f>NORM.S.DIST(M272,FALSE)*NORM.S.DIST(($H$10-$H$7*M272)/SQRT(1-$H$7^2),TRUE)</x:f>
        <x:v>0.00676657530769508</x:v>
      </x:c>
      <x:c r="P272" s="84" t="n">
        <x:f>N272*O272</x:f>
        <x:v>0.01353315061539016</x:v>
      </x:c>
      <x:c r="Q272" s="84" t="n">
        <x:f>$C$14+(($H$9-$C$14)/$C$13)*L272</x:f>
        <x:v>-2.9712741178319186</x:v>
      </x:c>
      <x:c r="R272" s="84" t="n">
        <x:f>NORM.S.DIST(Q272,FALSE)*NORM.S.DIST(($H$11-$H$7*Q272)/SQRT(1-$H$7^2),TRUE)</x:f>
        <x:v>0.004812721104512163</x:v>
      </x:c>
      <x:c r="S272" s="84" t="n">
        <x:f>N272*R272</x:f>
        <x:v>0.009625442209024325</x:v>
      </x:c>
    </x:row>
    <x:row r="273">
      <x:c r="L273" s="64" t="n">
        <x:f>267</x:f>
        <x:v>267</x:v>
      </x:c>
      <x:c r="M273" s="84" t="n">
        <x:f>$C$14+(($H$8-$C$14)/$C$13)*L273</x:f>
        <x:v>-2.835556633312489</x:v>
      </x:c>
      <x:c r="N273" s="84" t="n">
        <x:f>IF(OR(L273=0,L273=$C$13),1,IF(MOD(L273,2)=0,2,4))</x:f>
        <x:v>4</x:v>
      </x:c>
      <x:c r="O273" s="84" t="n">
        <x:f>NORM.S.DIST(M273,FALSE)*NORM.S.DIST(($H$10-$H$7*M273)/SQRT(1-$H$7^2),TRUE)</x:f>
        <x:v>0.00714866720333496</x:v>
      </x:c>
      <x:c r="P273" s="84" t="n">
        <x:f>N273*O273</x:f>
        <x:v>0.02859466881333984</x:v>
      </x:c>
      <x:c r="Q273" s="84" t="n">
        <x:f>$C$14+(($H$9-$C$14)/$C$13)*L273</x:f>
        <x:v>-2.95236913331249</x:v>
      </x:c>
      <x:c r="R273" s="84" t="n">
        <x:f>NORM.S.DIST(Q273,FALSE)*NORM.S.DIST(($H$11-$H$7*Q273)/SQRT(1-$H$7^2),TRUE)</x:f>
        <x:v>0.00508889687355125</x:v>
      </x:c>
      <x:c r="S273" s="84" t="n">
        <x:f>N273*R273</x:f>
        <x:v>0.020355587494205</x:v>
      </x:c>
    </x:row>
    <x:row r="274">
      <x:c r="L274" s="64" t="n">
        <x:f>268</x:f>
        <x:v>268</x:v>
      </x:c>
      <x:c r="M274" s="84" t="n">
        <x:f>$C$14+(($H$8-$C$14)/$C$13)*L274</x:f>
        <x:v>-2.816214148793061</x:v>
      </x:c>
      <x:c r="N274" s="84" t="n">
        <x:f>IF(OR(L274=0,L274=$C$13),1,IF(MOD(L274,2)=0,2,4))</x:f>
        <x:v>2</x:v>
      </x:c>
      <x:c r="O274" s="84" t="n">
        <x:f>NORM.S.DIST(M274,FALSE)*NORM.S.DIST(($H$10-$H$7*M274)/SQRT(1-$H$7^2),TRUE)</x:f>
        <x:v>0.007549464461858594</x:v>
      </x:c>
      <x:c r="P274" s="84" t="n">
        <x:f>N274*O274</x:f>
        <x:v>0.015098928923717189</x:v>
      </x:c>
      <x:c r="Q274" s="84" t="n">
        <x:f>$C$14+(($H$9-$C$14)/$C$13)*L274</x:f>
        <x:v>-2.9334641487930604</x:v>
      </x:c>
      <x:c r="R274" s="84" t="n">
        <x:f>NORM.S.DIST(Q274,FALSE)*NORM.S.DIST(($H$11-$H$7*Q274)/SQRT(1-$H$7^2),TRUE)</x:f>
        <x:v>0.0053789430749717</x:v>
      </x:c>
      <x:c r="S274" s="84" t="n">
        <x:f>N274*R274</x:f>
        <x:v>0.0107578861499434</x:v>
      </x:c>
    </x:row>
    <x:row r="275">
      <x:c r="L275" s="64" t="n">
        <x:f>269</x:f>
        <x:v>269</x:v>
      </x:c>
      <x:c r="M275" s="84" t="n">
        <x:f>$C$14+(($H$8-$C$14)/$C$13)*L275</x:f>
        <x:v>-2.796871664273632</x:v>
      </x:c>
      <x:c r="N275" s="84" t="n">
        <x:f>IF(OR(L275=0,L275=$C$13),1,IF(MOD(L275,2)=0,2,4))</x:f>
        <x:v>4</x:v>
      </x:c>
      <x:c r="O275" s="84" t="n">
        <x:f>NORM.S.DIST(M275,FALSE)*NORM.S.DIST(($H$10-$H$7*M275)/SQRT(1-$H$7^2),TRUE)</x:f>
        <x:v>0.007969700153918742</x:v>
      </x:c>
      <x:c r="P275" s="84" t="n">
        <x:f>N275*O275</x:f>
        <x:v>0.03187880061567497</x:v>
      </x:c>
      <x:c r="Q275" s="84" t="n">
        <x:f>$C$14+(($H$9-$C$14)/$C$13)*L275</x:f>
        <x:v>-2.9145591642736317</x:v>
      </x:c>
      <x:c r="R275" s="84" t="n">
        <x:f>NORM.S.DIST(Q275,FALSE)*NORM.S.DIST(($H$11-$H$7*Q275)/SQRT(1-$H$7^2),TRUE)</x:f>
        <x:v>0.005683428348676211</x:v>
      </x:c>
      <x:c r="S275" s="84" t="n">
        <x:f>N275*R275</x:f>
        <x:v>0.022733713394704844</x:v>
      </x:c>
    </x:row>
    <x:row r="276">
      <x:c r="L276" s="64" t="n">
        <x:f>270</x:f>
        <x:v>270</x:v>
      </x:c>
      <x:c r="M276" s="84" t="n">
        <x:f>$C$14+(($H$8-$C$14)/$C$13)*L276</x:f>
        <x:v>-2.777529179754203</x:v>
      </x:c>
      <x:c r="N276" s="84" t="n">
        <x:f>IF(OR(L276=0,L276=$C$13),1,IF(MOD(L276,2)=0,2,4))</x:f>
        <x:v>2</x:v>
      </x:c>
      <x:c r="O276" s="84" t="n">
        <x:f>NORM.S.DIST(M276,FALSE)*NORM.S.DIST(($H$10-$H$7*M276)/SQRT(1-$H$7^2),TRUE)</x:f>
        <x:v>0.008410125002639279</x:v>
      </x:c>
      <x:c r="P276" s="84" t="n">
        <x:f>N276*O276</x:f>
        <x:v>0.016820250005278557</x:v>
      </x:c>
      <x:c r="Q276" s="84" t="n">
        <x:f>$C$14+(($H$9-$C$14)/$C$13)*L276</x:f>
        <x:v>-2.895654179754203</x:v>
      </x:c>
      <x:c r="R276" s="84" t="n">
        <x:f>NORM.S.DIST(Q276,FALSE)*NORM.S.DIST(($H$11-$H$7*Q276)/SQRT(1-$H$7^2),TRUE)</x:f>
        <x:v>0.006002936718429784</x:v>
      </x:c>
      <x:c r="S276" s="84" t="n">
        <x:f>N276*R276</x:f>
        <x:v>0.012005873436859568</x:v>
      </x:c>
    </x:row>
    <x:row r="277">
      <x:c r="L277" s="64" t="n">
        <x:f>271</x:f>
        <x:v>271</x:v>
      </x:c>
      <x:c r="M277" s="84" t="n">
        <x:f>$C$14+(($H$8-$C$14)/$C$13)*L277</x:f>
        <x:v>-2.758186695234774</x:v>
      </x:c>
      <x:c r="N277" s="84" t="n">
        <x:f>IF(OR(L277=0,L277=$C$13),1,IF(MOD(L277,2)=0,2,4))</x:f>
        <x:v>4</x:v>
      </x:c>
      <x:c r="O277" s="84" t="n">
        <x:f>NORM.S.DIST(M277,FALSE)*NORM.S.DIST(($H$10-$H$7*M277)/SQRT(1-$H$7^2),TRUE)</x:f>
        <x:v>0.008871507126327284</x:v>
      </x:c>
      <x:c r="P277" s="84" t="n">
        <x:f>N277*O277</x:f>
        <x:v>0.03548602850530914</x:v>
      </x:c>
      <x:c r="Q277" s="84" t="n">
        <x:f>$C$14+(($H$9-$C$14)/$C$13)*L277</x:f>
        <x:v>-2.8767491952347743</x:v>
      </x:c>
      <x:c r="R277" s="84" t="n">
        <x:f>NORM.S.DIST(Q277,FALSE)*NORM.S.DIST(($H$11-$H$7*Q277)/SQRT(1-$H$7^2),TRUE)</x:f>
        <x:v>0.006338067511658285</x:v>
      </x:c>
      <x:c r="S277" s="84" t="n">
        <x:f>N277*R277</x:f>
        <x:v>0.02535227004663314</x:v>
      </x:c>
    </x:row>
    <x:row r="278">
      <x:c r="L278" s="64" t="n">
        <x:f>272</x:f>
        <x:v>272</x:v>
      </x:c>
      <x:c r="M278" s="84" t="n">
        <x:f>$C$14+(($H$8-$C$14)/$C$13)*L278</x:f>
        <x:v>-2.738844210715345</x:v>
      </x:c>
      <x:c r="N278" s="84" t="n">
        <x:f>IF(OR(L278=0,L278=$C$13),1,IF(MOD(L278,2)=0,2,4))</x:f>
        <x:v>2</x:v>
      </x:c>
      <x:c r="O278" s="84" t="n">
        <x:f>NORM.S.DIST(M278,FALSE)*NORM.S.DIST(($H$10-$H$7*M278)/SQRT(1-$H$7^2),TRUE)</x:f>
        <x:v>0.009354631726593229</x:v>
      </x:c>
      <x:c r="P278" s="84" t="n">
        <x:f>N278*O278</x:f>
        <x:v>0.018709263453186457</x:v>
      </x:c>
      <x:c r="Q278" s="84" t="n">
        <x:f>$C$14+(($H$9-$C$14)/$C$13)*L278</x:f>
        <x:v>-2.857844210715345</x:v>
      </x:c>
      <x:c r="R278" s="84" t="n">
        <x:f>NORM.S.DIST(Q278,FALSE)*NORM.S.DIST(($H$11-$H$7*Q278)/SQRT(1-$H$7^2),TRUE)</x:f>
        <x:v>0.006689435239585743</x:v>
      </x:c>
      <x:c r="S278" s="84" t="n">
        <x:f>N278*R278</x:f>
        <x:v>0.013378870479171487</x:v>
      </x:c>
    </x:row>
    <x:row r="279">
      <x:c r="L279" s="64" t="n">
        <x:f>273</x:f>
        <x:v>273</x:v>
      </x:c>
      <x:c r="M279" s="84" t="n">
        <x:f>$C$14+(($H$8-$C$14)/$C$13)*L279</x:f>
        <x:v>-2.719501726195916</x:v>
      </x:c>
      <x:c r="N279" s="84" t="n">
        <x:f>IF(OR(L279=0,L279=$C$13),1,IF(MOD(L279,2)=0,2,4))</x:f>
        <x:v>4</x:v>
      </x:c>
      <x:c r="O279" s="84" t="n">
        <x:f>NORM.S.DIST(M279,FALSE)*NORM.S.DIST(($H$10-$H$7*M279)/SQRT(1-$H$7^2),TRUE)</x:f>
        <x:v>0.0098603007191535</x:v>
      </x:c>
      <x:c r="P279" s="84" t="n">
        <x:f>N279*O279</x:f>
        <x:v>0.039441202876614</x:v>
      </x:c>
      <x:c r="Q279" s="84" t="n">
        <x:f>$C$14+(($H$9-$C$14)/$C$13)*L279</x:f>
        <x:v>-2.838939226195916</x:v>
      </x:c>
      <x:c r="R279" s="84" t="n">
        <x:f>NORM.S.DIST(Q279,FALSE)*NORM.S.DIST(($H$11-$H$7*Q279)/SQRT(1-$H$7^2),TRUE)</x:f>
        <x:v>0.007057669435348028</x:v>
      </x:c>
      <x:c r="S279" s="84" t="n">
        <x:f>N279*R279</x:f>
        <x:v>0.028230677741392114</x:v>
      </x:c>
    </x:row>
    <x:row r="280">
      <x:c r="L280" s="64" t="n">
        <x:f>274</x:f>
        <x:v>274</x:v>
      </x:c>
      <x:c r="M280" s="84" t="n">
        <x:f>$C$14+(($H$8-$C$14)/$C$13)*L280</x:f>
        <x:v>-2.700159241676487</x:v>
      </x:c>
      <x:c r="N280" s="84" t="n">
        <x:f>IF(OR(L280=0,L280=$C$13),1,IF(MOD(L280,2)=0,2,4))</x:f>
        <x:v>2</x:v>
      </x:c>
      <x:c r="O280" s="84" t="n">
        <x:f>NORM.S.DIST(M280,FALSE)*NORM.S.DIST(($H$10-$H$7*M280)/SQRT(1-$H$7^2),TRUE)</x:f>
        <x:v>0.010389332304579009</x:v>
      </x:c>
      <x:c r="P280" s="84" t="n">
        <x:f>N280*O280</x:f>
        <x:v>0.020778664609158018</x:v>
      </x:c>
      <x:c r="Q280" s="84" t="n">
        <x:f>$C$14+(($H$9-$C$14)/$C$13)*L280</x:f>
        <x:v>-2.8200342416764874</x:v>
      </x:c>
      <x:c r="R280" s="84" t="n">
        <x:f>NORM.S.DIST(Q280,FALSE)*NORM.S.DIST(($H$11-$H$7*Q280)/SQRT(1-$H$7^2),TRUE)</x:f>
        <x:v>0.007443414447687152</x:v>
      </x:c>
      <x:c r="S280" s="84" t="n">
        <x:f>N280*R280</x:f>
        <x:v>0.014886828895374304</x:v>
      </x:c>
    </x:row>
    <x:row r="281">
      <x:c r="L281" s="64" t="n">
        <x:f>275</x:f>
        <x:v>275</x:v>
      </x:c>
      <x:c r="M281" s="84" t="n">
        <x:f>$C$14+(($H$8-$C$14)/$C$13)*L281</x:f>
        <x:v>-2.680816757157058</x:v>
      </x:c>
      <x:c r="N281" s="84" t="n">
        <x:f>IF(OR(L281=0,L281=$C$13),1,IF(MOD(L281,2)=0,2,4))</x:f>
        <x:v>4</x:v>
      </x:c>
      <x:c r="O281" s="84" t="n">
        <x:f>NORM.S.DIST(M281,FALSE)*NORM.S.DIST(($H$10-$H$7*M281)/SQRT(1-$H$7^2),TRUE)</x:f>
        <x:v>0.010942560476251797</x:v>
      </x:c>
      <x:c r="P281" s="84" t="n">
        <x:f>N281*O281</x:f>
        <x:v>0.04377024190500719</x:v>
      </x:c>
      <x:c r="Q281" s="84" t="n">
        <x:f>$C$14+(($H$9-$C$14)/$C$13)*L281</x:f>
        <x:v>-2.8011292571570587</x:v>
      </x:c>
      <x:c r="R281" s="84" t="n">
        <x:f>NORM.S.DIST(Q281,FALSE)*NORM.S.DIST(($H$11-$H$7*Q281)/SQRT(1-$H$7^2),TRUE)</x:f>
        <x:v>0.007847329187801663</x:v>
      </x:c>
      <x:c r="S281" s="84" t="n">
        <x:f>N281*R281</x:f>
        <x:v>0.03138931675120665</x:v>
      </x:c>
    </x:row>
    <x:row r="282">
      <x:c r="L282" s="64" t="n">
        <x:f>276</x:f>
        <x:v>276</x:v>
      </x:c>
      <x:c r="M282" s="84" t="n">
        <x:f>$C$14+(($H$8-$C$14)/$C$13)*L282</x:f>
        <x:v>-2.66147427263763</x:v>
      </x:c>
      <x:c r="N282" s="84" t="n">
        <x:f>IF(OR(L282=0,L282=$C$13),1,IF(MOD(L282,2)=0,2,4))</x:f>
        <x:v>2</x:v>
      </x:c>
      <x:c r="O282" s="84" t="n">
        <x:f>NORM.S.DIST(M282,FALSE)*NORM.S.DIST(($H$10-$H$7*M282)/SQRT(1-$H$7^2),TRUE)</x:f>
        <x:v>0.011520834462798881</x:v>
      </x:c>
      <x:c r="P282" s="84" t="n">
        <x:f>N282*O282</x:f>
        <x:v>0.023041668925597763</x:v>
      </x:c>
      <x:c r="Q282" s="84" t="n">
        <x:f>$C$14+(($H$9-$C$14)/$C$13)*L282</x:f>
        <x:v>-2.78222427263763</x:v>
      </x:c>
      <x:c r="R282" s="84" t="n">
        <x:f>NORM.S.DIST(Q282,FALSE)*NORM.S.DIST(($H$11-$H$7*Q282)/SQRT(1-$H$7^2),TRUE)</x:f>
        <x:v>0.008270086826908303</x:v>
      </x:c>
      <x:c r="S282" s="84" t="n">
        <x:f>N282*R282</x:f>
        <x:v>0.016540173653816607</x:v>
      </x:c>
    </x:row>
    <x:row r="283">
      <x:c r="L283" s="64" t="n">
        <x:f>277</x:f>
        <x:v>277</x:v>
      </x:c>
      <x:c r="M283" s="84" t="n">
        <x:f>$C$14+(($H$8-$C$14)/$C$13)*L283</x:f>
        <x:v>-2.642131788118201</x:v>
      </x:c>
      <x:c r="N283" s="84" t="n">
        <x:f>IF(OR(L283=0,L283=$C$13),1,IF(MOD(L283,2)=0,2,4))</x:f>
        <x:v>4</x:v>
      </x:c>
      <x:c r="O283" s="84" t="n">
        <x:f>NORM.S.DIST(M283,FALSE)*NORM.S.DIST(($H$10-$H$7*M283)/SQRT(1-$H$7^2),TRUE)</x:f>
        <x:v>0.01212501810229064</x:v>
      </x:c>
      <x:c r="P283" s="84" t="n">
        <x:f>N283*O283</x:f>
        <x:v>0.04850007240916256</x:v>
      </x:c>
      <x:c r="Q283" s="84" t="n">
        <x:f>$C$14+(($H$9-$C$14)/$C$13)*L283</x:f>
        <x:v>-2.7633192881182005</x:v>
      </x:c>
      <x:c r="R283" s="84" t="n">
        <x:f>NORM.S.DIST(Q283,FALSE)*NORM.S.DIST(($H$11-$H$7*Q283)/SQRT(1-$H$7^2),TRUE)</x:f>
        <x:v>0.008712374442055618</x:v>
      </x:c>
      <x:c r="S283" s="84" t="n">
        <x:f>N283*R283</x:f>
        <x:v>0.03484949776822247</x:v>
      </x:c>
    </x:row>
    <x:row r="284">
      <x:c r="L284" s="64" t="n">
        <x:f>278</x:f>
        <x:v>278</x:v>
      </x:c>
      <x:c r="M284" s="84" t="n">
        <x:f>$C$14+(($H$8-$C$14)/$C$13)*L284</x:f>
        <x:v>-2.622789303598772</x:v>
      </x:c>
      <x:c r="N284" s="84" t="n">
        <x:f>IF(OR(L284=0,L284=$C$13),1,IF(MOD(L284,2)=0,2,4))</x:f>
        <x:v>2</x:v>
      </x:c>
      <x:c r="O284" s="84" t="n">
        <x:f>NORM.S.DIST(M284,FALSE)*NORM.S.DIST(($H$10-$H$7*M284)/SQRT(1-$H$7^2),TRUE)</x:f>
        <x:v>0.012755989145517928</x:v>
      </x:c>
      <x:c r="P284" s="84" t="n">
        <x:f>N284*O284</x:f>
        <x:v>0.025511978291035856</x:v>
      </x:c>
      <x:c r="Q284" s="84" t="n">
        <x:f>$C$14+(($H$9-$C$14)/$C$13)*L284</x:f>
        <x:v>-2.744414303598772</x:v>
      </x:c>
      <x:c r="R284" s="84" t="n">
        <x:f>NORM.S.DIST(Q284,FALSE)*NORM.S.DIST(($H$11-$H$7*Q284)/SQRT(1-$H$7^2),TRUE)</x:f>
        <x:v>0.00917489260772504</x:v>
      </x:c>
      <x:c r="S284" s="84" t="n">
        <x:f>N284*R284</x:f>
        <x:v>0.01834978521545008</x:v>
      </x:c>
    </x:row>
    <x:row r="285">
      <x:c r="L285" s="64" t="n">
        <x:f>279</x:f>
        <x:v>279</x:v>
      </x:c>
      <x:c r="M285" s="84" t="n">
        <x:f>$C$14+(($H$8-$C$14)/$C$13)*L285</x:f>
        <x:v>-2.603446819079343</x:v>
      </x:c>
      <x:c r="N285" s="84" t="n">
        <x:f>IF(OR(L285=0,L285=$C$13),1,IF(MOD(L285,2)=0,2,4))</x:f>
        <x:v>4</x:v>
      </x:c>
      <x:c r="O285" s="84" t="n">
        <x:f>NORM.S.DIST(M285,FALSE)*NORM.S.DIST(($H$10-$H$7*M285)/SQRT(1-$H$7^2),TRUE)</x:f>
        <x:v>0.013414638485703068</x:v>
      </x:c>
      <x:c r="P285" s="84" t="n">
        <x:f>N285*O285</x:f>
        <x:v>0.05365855394281227</x:v>
      </x:c>
      <x:c r="Q285" s="84" t="n">
        <x:f>$C$14+(($H$9-$C$14)/$C$13)*L285</x:f>
        <x:v>-2.725509319079343</x:v>
      </x:c>
      <x:c r="R285" s="84" t="n">
        <x:f>NORM.S.DIST(Q285,FALSE)*NORM.S.DIST(($H$11-$H$7*Q285)/SQRT(1-$H$7^2),TRUE)</x:f>
        <x:v>0.009658354930757895</x:v>
      </x:c>
      <x:c r="S285" s="84" t="n">
        <x:f>N285*R285</x:f>
        <x:v>0.03863341972303158</x:v>
      </x:c>
    </x:row>
    <x:row r="286">
      <x:c r="L286" s="64" t="n">
        <x:f>280</x:f>
        <x:v>280</x:v>
      </x:c>
      <x:c r="M286" s="84" t="n">
        <x:f>$C$14+(($H$8-$C$14)/$C$13)*L286</x:f>
        <x:v>-2.584104334559914</x:v>
      </x:c>
      <x:c r="N286" s="84" t="n">
        <x:f>IF(OR(L286=0,L286=$C$13),1,IF(MOD(L286,2)=0,2,4))</x:f>
        <x:v>2</x:v>
      </x:c>
      <x:c r="O286" s="84" t="n">
        <x:f>NORM.S.DIST(M286,FALSE)*NORM.S.DIST(($H$10-$H$7*M286)/SQRT(1-$H$7^2),TRUE)</x:f>
        <x:v>0.014101869312049816</x:v>
      </x:c>
      <x:c r="P286" s="84" t="n">
        <x:f>N286*O286</x:f>
        <x:v>0.028203738624099632</x:v>
      </x:c>
      <x:c r="Q286" s="84" t="n">
        <x:f>$C$14+(($H$9-$C$14)/$C$13)*L286</x:f>
        <x:v>-2.7066043345599144</x:v>
      </x:c>
      <x:c r="R286" s="84" t="n">
        <x:f>NORM.S.DIST(Q286,FALSE)*NORM.S.DIST(($H$11-$H$7*Q286)/SQRT(1-$H$7^2),TRUE)</x:f>
        <x:v>0.010163487526158931</x:v>
      </x:c>
      <x:c r="S286" s="84" t="n">
        <x:f>N286*R286</x:f>
        <x:v>0.020326975052317862</x:v>
      </x:c>
    </x:row>
    <x:row r="287">
      <x:c r="L287" s="64" t="n">
        <x:f>281</x:f>
        <x:v>281</x:v>
      </x:c>
      <x:c r="M287" s="84" t="n">
        <x:f>$C$14+(($H$8-$C$14)/$C$13)*L287</x:f>
        <x:v>-2.564761850040485</x:v>
      </x:c>
      <x:c r="N287" s="84" t="n">
        <x:f>IF(OR(L287=0,L287=$C$13),1,IF(MOD(L287,2)=0,2,4))</x:f>
        <x:v>4</x:v>
      </x:c>
      <x:c r="O287" s="84" t="n">
        <x:f>NORM.S.DIST(M287,FALSE)*NORM.S.DIST(($H$10-$H$7*M287)/SQRT(1-$H$7^2),TRUE)</x:f>
        <x:v>0.01481859618460208</x:v>
      </x:c>
      <x:c r="P287" s="84" t="n">
        <x:f>N287*O287</x:f>
        <x:v>0.05927438473840832</x:v>
      </x:c>
      <x:c r="Q287" s="84" t="n">
        <x:f>$C$14+(($H$9-$C$14)/$C$13)*L287</x:f>
        <x:v>-2.687699350040485</x:v>
      </x:c>
      <x:c r="R287" s="84" t="n">
        <x:f>NORM.S.DIST(Q287,FALSE)*NORM.S.DIST(($H$11-$H$7*Q287)/SQRT(1-$H$7^2),TRUE)</x:f>
        <x:v>0.010691028431349909</x:v>
      </x:c>
      <x:c r="S287" s="84" t="n">
        <x:f>N287*R287</x:f>
        <x:v>0.042764113725399636</x:v>
      </x:c>
    </x:row>
    <x:row r="288">
      <x:c r="L288" s="64" t="n">
        <x:f>282</x:f>
        <x:v>282</x:v>
      </x:c>
      <x:c r="M288" s="84" t="n">
        <x:f>$C$14+(($H$8-$C$14)/$C$13)*L288</x:f>
        <x:v>-2.545419365521056</x:v>
      </x:c>
      <x:c r="N288" s="84" t="n">
        <x:f>IF(OR(L288=0,L288=$C$13),1,IF(MOD(L288,2)=0,2,4))</x:f>
        <x:v>2</x:v>
      </x:c>
      <x:c r="O288" s="84" t="n">
        <x:f>NORM.S.DIST(M288,FALSE)*NORM.S.DIST(($H$10-$H$7*M288)/SQRT(1-$H$7^2),TRUE)</x:f>
        <x:v>0.015565744027958708</x:v>
      </x:c>
      <x:c r="P288" s="84" t="n">
        <x:f>N288*O288</x:f>
        <x:v>0.031131488055917415</x:v>
      </x:c>
      <x:c r="Q288" s="84" t="n">
        <x:f>$C$14+(($H$9-$C$14)/$C$13)*L288</x:f>
        <x:v>-2.668794365521056</x:v>
      </x:c>
      <x:c r="R288" s="84" t="n">
        <x:f>NORM.S.DIST(Q288,FALSE)*NORM.S.DIST(($H$11-$H$7*Q288)/SQRT(1-$H$7^2),TRUE)</x:f>
        <x:v>0.011241726956479505</x:v>
      </x:c>
      <x:c r="S288" s="84" t="n">
        <x:f>N288*R288</x:f>
        <x:v>0.02248345391295901</x:v>
      </x:c>
    </x:row>
    <x:row r="289">
      <x:c r="L289" s="64" t="n">
        <x:f>283</x:f>
        <x:v>283</x:v>
      </x:c>
      <x:c r="M289" s="84" t="n">
        <x:f>$C$14+(($H$8-$C$14)/$C$13)*L289</x:f>
        <x:v>-2.526076881001627</x:v>
      </x:c>
      <x:c r="N289" s="84" t="n">
        <x:f>IF(OR(L289=0,L289=$C$13),1,IF(MOD(L289,2)=0,2,4))</x:f>
        <x:v>4</x:v>
      </x:c>
      <x:c r="O289" s="84" t="n">
        <x:f>NORM.S.DIST(M289,FALSE)*NORM.S.DIST(($H$10-$H$7*M289)/SQRT(1-$H$7^2),TRUE)</x:f>
        <x:v>0.016344247041482768</x:v>
      </x:c>
      <x:c r="P289" s="84" t="n">
        <x:f>N289*O289</x:f>
        <x:v>0.06537698816593107</x:v>
      </x:c>
      <x:c r="Q289" s="84" t="n">
        <x:f>$C$14+(($H$9-$C$14)/$C$13)*L289</x:f>
        <x:v>-2.6498893810016275</x:v>
      </x:c>
      <x:c r="R289" s="84" t="n">
        <x:f>NORM.S.DIST(Q289,FALSE)*NORM.S.DIST(($H$11-$H$7*Q289)/SQRT(1-$H$7^2),TRUE)</x:f>
        <x:v>0.011816342968441253</x:v>
      </x:c>
      <x:c r="S289" s="84" t="n">
        <x:f>N289*R289</x:f>
        <x:v>0.04726537187376501</x:v>
      </x:c>
    </x:row>
    <x:row r="290">
      <x:c r="L290" s="64" t="n">
        <x:f>284</x:f>
        <x:v>284</x:v>
      </x:c>
      <x:c r="M290" s="84" t="n">
        <x:f>$C$14+(($H$8-$C$14)/$C$13)*L290</x:f>
        <x:v>-2.506734396482199</x:v>
      </x:c>
      <x:c r="N290" s="84" t="n">
        <x:f>IF(OR(L290=0,L290=$C$13),1,IF(MOD(L290,2)=0,2,4))</x:f>
        <x:v>2</x:v>
      </x:c>
      <x:c r="O290" s="84" t="n">
        <x:f>NORM.S.DIST(M290,FALSE)*NORM.S.DIST(($H$10-$H$7*M290)/SQRT(1-$H$7^2),TRUE)</x:f>
        <x:v>0.017155047523750307</x:v>
      </x:c>
      <x:c r="P290" s="84" t="n">
        <x:f>N290*O290</x:f>
        <x:v>0.03431009504750061</x:v>
      </x:c>
      <x:c r="Q290" s="84" t="n">
        <x:f>$C$14+(($H$9-$C$14)/$C$13)*L290</x:f>
        <x:v>-2.630984396482199</x:v>
      </x:c>
      <x:c r="R290" s="84" t="n">
        <x:f>NORM.S.DIST(Q290,FALSE)*NORM.S.DIST(($H$11-$H$7*Q290)/SQRT(1-$H$7^2),TRUE)</x:f>
        <x:v>0.012415646106306768</x:v>
      </x:c>
      <x:c r="S290" s="84" t="n">
        <x:f>N290*R290</x:f>
        <x:v>0.024831292212613536</x:v>
      </x:c>
    </x:row>
    <x:row r="291">
      <x:c r="L291" s="64" t="n">
        <x:f>285</x:f>
        <x:v>285</x:v>
      </x:c>
      <x:c r="M291" s="84" t="n">
        <x:f>$C$14+(($H$8-$C$14)/$C$13)*L291</x:f>
        <x:v>-2.48739191196277</x:v>
      </x:c>
      <x:c r="N291" s="84" t="n">
        <x:f>IF(OR(L291=0,L291=$C$13),1,IF(MOD(L291,2)=0,2,4))</x:f>
        <x:v>4</x:v>
      </x:c>
      <x:c r="O291" s="84" t="n">
        <x:f>NORM.S.DIST(M291,FALSE)*NORM.S.DIST(($H$10-$H$7*M291)/SQRT(1-$H$7^2),TRUE)</x:f>
        <x:v>0.017999094609105214</x:v>
      </x:c>
      <x:c r="P291" s="84" t="n">
        <x:f>N291*O291</x:f>
        <x:v>0.07199637843642086</x:v>
      </x:c>
      <x:c r="Q291" s="84" t="n">
        <x:f>$C$14+(($H$9-$C$14)/$C$13)*L291</x:f>
        <x:v>-2.61207941196277</x:v>
      </x:c>
      <x:c r="R291" s="84" t="n">
        <x:f>NORM.S.DIST(Q291,FALSE)*NORM.S.DIST(($H$11-$H$7*Q291)/SQRT(1-$H$7^2),TRUE)</x:f>
        <x:v>0.01304041492595248</x:v>
      </x:c>
      <x:c r="S291" s="84" t="n">
        <x:f>N291*R291</x:f>
        <x:v>0.05216165970380992</x:v>
      </x:c>
    </x:row>
    <x:row r="292">
      <x:c r="L292" s="64" t="n">
        <x:f>286</x:f>
        <x:v>286</x:v>
      </x:c>
      <x:c r="M292" s="84" t="n">
        <x:f>$C$14+(($H$8-$C$14)/$C$13)*L292</x:f>
        <x:v>-2.468049427443341</x:v>
      </x:c>
      <x:c r="N292" s="84" t="n">
        <x:f>IF(OR(L292=0,L292=$C$13),1,IF(MOD(L292,2)=0,2,4))</x:f>
        <x:v>2</x:v>
      </x:c>
      <x:c r="O292" s="84" t="n">
        <x:f>NORM.S.DIST(M292,FALSE)*NORM.S.DIST(($H$10-$H$7*M292)/SQRT(1-$H$7^2),TRUE)</x:f>
        <x:v>0.01887734291432416</x:v>
      </x:c>
      <x:c r="P292" s="84" t="n">
        <x:f>N292*O292</x:f>
        <x:v>0.03775468582864832</x:v>
      </x:c>
      <x:c r="Q292" s="84" t="n">
        <x:f>$C$14+(($H$9-$C$14)/$C$13)*L292</x:f>
        <x:v>-2.5931744274433406</x:v>
      </x:c>
      <x:c r="R292" s="84" t="n">
        <x:f>NORM.S.DIST(Q292,FALSE)*NORM.S.DIST(($H$11-$H$7*Q292)/SQRT(1-$H$7^2),TRUE)</x:f>
        <x:v>0.013691435971740192</x:v>
      </x:c>
      <x:c r="S292" s="84" t="n">
        <x:f>N292*R292</x:f>
        <x:v>0.027382871943480384</x:v>
      </x:c>
    </x:row>
    <x:row r="293">
      <x:c r="L293" s="64" t="n">
        <x:f>287</x:f>
        <x:v>287</x:v>
      </x:c>
      <x:c r="M293" s="84" t="n">
        <x:f>$C$14+(($H$8-$C$14)/$C$13)*L293</x:f>
        <x:v>-2.448706942923912</x:v>
      </x:c>
      <x:c r="N293" s="84" t="n">
        <x:f>IF(OR(L293=0,L293=$C$13),1,IF(MOD(L293,2)=0,2,4))</x:f>
        <x:v>4</x:v>
      </x:c>
      <x:c r="O293" s="84" t="n">
        <x:f>NORM.S.DIST(M293,FALSE)*NORM.S.DIST(($H$10-$H$7*M293)/SQRT(1-$H$7^2),TRUE)</x:f>
        <x:v>0.019790751093550843</x:v>
      </x:c>
      <x:c r="P293" s="84" t="n">
        <x:f>N293*O293</x:f>
        <x:v>0.07916300437420337</x:v>
      </x:c>
      <x:c r="Q293" s="84" t="n">
        <x:f>$C$14+(($H$9-$C$14)/$C$13)*L293</x:f>
        <x:v>-2.574269442923912</x:v>
      </x:c>
      <x:c r="R293" s="84" t="n">
        <x:f>NORM.S.DIST(Q293,FALSE)*NORM.S.DIST(($H$11-$H$7*Q293)/SQRT(1-$H$7^2),TRUE)</x:f>
        <x:v>0.014369502773209225</x:v>
      </x:c>
      <x:c r="S293" s="84" t="n">
        <x:f>N293*R293</x:f>
        <x:v>0.0574780110928369</x:v>
      </x:c>
    </x:row>
    <x:row r="294">
      <x:c r="L294" s="64" t="n">
        <x:f>288</x:f>
        <x:v>288</x:v>
      </x:c>
      <x:c r="M294" s="84" t="n">
        <x:f>$C$14+(($H$8-$C$14)/$C$13)*L294</x:f>
        <x:v>-2.429364458404483</x:v>
      </x:c>
      <x:c r="N294" s="84" t="n">
        <x:f>IF(OR(L294=0,L294=$C$13),1,IF(MOD(L294,2)=0,2,4))</x:f>
        <x:v>2</x:v>
      </x:c>
      <x:c r="O294" s="84" t="n">
        <x:f>NORM.S.DIST(M294,FALSE)*NORM.S.DIST(($H$10-$H$7*M294)/SQRT(1-$H$7^2),TRUE)</x:f>
        <x:v>0.020740280299829765</x:v>
      </x:c>
      <x:c r="P294" s="84" t="n">
        <x:f>N294*O294</x:f>
        <x:v>0.04148056059965953</x:v>
      </x:c>
      <x:c r="Q294" s="84" t="n">
        <x:f>$C$14+(($H$9-$C$14)/$C$13)*L294</x:f>
        <x:v>-2.5553644584044832</x:v>
      </x:c>
      <x:c r="R294" s="84" t="n">
        <x:f>NORM.S.DIST(Q294,FALSE)*NORM.S.DIST(($H$11-$H$7*Q294)/SQRT(1-$H$7^2),TRUE)</x:f>
        <x:v>0.015075414764850303</x:v>
      </x:c>
      <x:c r="S294" s="84" t="n">
        <x:f>N294*R294</x:f>
        <x:v>0.030150829529700607</x:v>
      </x:c>
    </x:row>
    <x:row r="295">
      <x:c r="L295" s="64" t="n">
        <x:f>289</x:f>
        <x:v>289</x:v>
      </x:c>
      <x:c r="M295" s="84" t="n">
        <x:f>$C$14+(($H$8-$C$14)/$C$13)*L295</x:f>
        <x:v>-2.410021973885054</x:v>
      </x:c>
      <x:c r="N295" s="84" t="n">
        <x:f>IF(OR(L295=0,L295=$C$13),1,IF(MOD(L295,2)=0,2,4))</x:f>
        <x:v>4</x:v>
      </x:c>
      <x:c r="O295" s="84" t="n">
        <x:f>NORM.S.DIST(M295,FALSE)*NORM.S.DIST(($H$10-$H$7*M295)/SQRT(1-$H$7^2),TRUE)</x:f>
        <x:v>0.021726892551759826</x:v>
      </x:c>
      <x:c r="P295" s="84" t="n">
        <x:f>N295*O295</x:f>
        <x:v>0.0869075702070393</x:v>
      </x:c>
      <x:c r="Q295" s="84" t="n">
        <x:f>$C$14+(($H$9-$C$14)/$C$13)*L295</x:f>
        <x:v>-2.5364594738850545</x:v>
      </x:c>
      <x:c r="R295" s="84" t="n">
        <x:f>NORM.S.DIST(Q295,FALSE)*NORM.S.DIST(($H$11-$H$7*Q295)/SQRT(1-$H$7^2),TRUE)</x:f>
        <x:v>0.015809976127158124</x:v>
      </x:c>
      <x:c r="S295" s="84" t="n">
        <x:f>N295*R295</x:f>
        <x:v>0.0632399045086325</x:v>
      </x:c>
    </x:row>
    <x:row r="296">
      <x:c r="L296" s="64" t="n">
        <x:f>290</x:f>
        <x:v>290</x:v>
      </x:c>
      <x:c r="M296" s="84" t="n">
        <x:f>$C$14+(($H$8-$C$14)/$C$13)*L296</x:f>
        <x:v>-2.390679489365625</x:v>
      </x:c>
      <x:c r="N296" s="84" t="n">
        <x:f>IF(OR(L296=0,L296=$C$13),1,IF(MOD(L296,2)=0,2,4))</x:f>
        <x:v>2</x:v>
      </x:c>
      <x:c r="O296" s="84" t="n">
        <x:f>NORM.S.DIST(M296,FALSE)*NORM.S.DIST(($H$10-$H$7*M296)/SQRT(1-$H$7^2),TRUE)</x:f>
        <x:v>0.022751549003995983</x:v>
      </x:c>
      <x:c r="P296" s="84" t="n">
        <x:f>N296*O296</x:f>
        <x:v>0.04550309800799197</x:v>
      </x:c>
      <x:c r="Q296" s="84" t="n">
        <x:f>$C$14+(($H$9-$C$14)/$C$13)*L296</x:f>
        <x:v>-2.517554489365625</x:v>
      </x:c>
      <x:c r="R296" s="84" t="n">
        <x:f>NORM.S.DIST(Q296,FALSE)*NORM.S.DIST(($H$11-$H$7*Q296)/SQRT(1-$H$7^2),TRUE)</x:f>
        <x:v>0.01657399454730325</x:v>
      </x:c>
      <x:c r="S296" s="84" t="n">
        <x:f>N296*R296</x:f>
        <x:v>0.0331479890946065</x:v>
      </x:c>
    </x:row>
    <x:row r="297">
      <x:c r="L297" s="64" t="n">
        <x:f>291</x:f>
        <x:v>291</x:v>
      </x:c>
      <x:c r="M297" s="84" t="n">
        <x:f>$C$14+(($H$8-$C$14)/$C$13)*L297</x:f>
        <x:v>-2.371337004846197</x:v>
      </x:c>
      <x:c r="N297" s="84" t="n">
        <x:f>IF(OR(L297=0,L297=$C$13),1,IF(MOD(L297,2)=0,2,4))</x:f>
        <x:v>4</x:v>
      </x:c>
      <x:c r="O297" s="84" t="n">
        <x:f>NORM.S.DIST(M297,FALSE)*NORM.S.DIST(($H$10-$H$7*M297)/SQRT(1-$H$7^2),TRUE)</x:f>
        <x:v>0.02381520812055413</x:v>
      </x:c>
      <x:c r="P297" s="84" t="n">
        <x:f>N297*O297</x:f>
        <x:v>0.09526083248221652</x:v>
      </x:c>
      <x:c r="Q297" s="84" t="n">
        <x:f>$C$14+(($H$9-$C$14)/$C$13)*L297</x:f>
        <x:v>-2.4986495048461963</x:v>
      </x:c>
      <x:c r="R297" s="84" t="n">
        <x:f>NORM.S.DIST(Q297,FALSE)*NORM.S.DIST(($H$11-$H$7*Q297)/SQRT(1-$H$7^2),TRUE)</x:f>
        <x:v>0.017368279897923916</x:v>
      </x:c>
      <x:c r="S297" s="84" t="n">
        <x:f>N297*R297</x:f>
        <x:v>0.06947311959169566</x:v>
      </x:c>
    </x:row>
    <x:row r="298">
      <x:c r="L298" s="64" t="n">
        <x:f>292</x:f>
        <x:v>292</x:v>
      </x:c>
      <x:c r="M298" s="84" t="n">
        <x:f>$C$14+(($H$8-$C$14)/$C$13)*L298</x:f>
        <x:v>-2.351994520326768</x:v>
      </x:c>
      <x:c r="N298" s="84" t="n">
        <x:f>IF(OR(L298=0,L298=$C$13),1,IF(MOD(L298,2)=0,2,4))</x:f>
        <x:v>2</x:v>
      </x:c>
      <x:c r="O298" s="84" t="n">
        <x:f>NORM.S.DIST(M298,FALSE)*NORM.S.DIST(($H$10-$H$7*M298)/SQRT(1-$H$7^2),TRUE)</x:f>
        <x:v>0.024918823750121107</x:v>
      </x:c>
      <x:c r="P298" s="84" t="n">
        <x:f>N298*O298</x:f>
        <x:v>0.049837647500242215</x:v>
      </x:c>
      <x:c r="Q298" s="84" t="n">
        <x:f>$C$14+(($H$9-$C$14)/$C$13)*L298</x:f>
        <x:v>-2.4797445203267676</x:v>
      </x:c>
      <x:c r="R298" s="84" t="n">
        <x:f>NORM.S.DIST(Q298,FALSE)*NORM.S.DIST(($H$11-$H$7*Q298)/SQRT(1-$H$7^2),TRUE)</x:f>
        <x:v>0.018193642832715618</x:v>
      </x:c>
      <x:c r="S298" s="84" t="n">
        <x:f>N298*R298</x:f>
        <x:v>0.036387285665431236</x:v>
      </x:c>
    </x:row>
    <x:row r="299">
      <x:c r="L299" s="64" t="n">
        <x:f>293</x:f>
        <x:v>293</x:v>
      </x:c>
      <x:c r="M299" s="84" t="n">
        <x:f>$C$14+(($H$8-$C$14)/$C$13)*L299</x:f>
        <x:v>-2.332652035807339</x:v>
      </x:c>
      <x:c r="N299" s="84" t="n">
        <x:f>IF(OR(L299=0,L299=$C$13),1,IF(MOD(L299,2)=0,2,4))</x:f>
        <x:v>4</x:v>
      </x:c>
      <x:c r="O299" s="84" t="n">
        <x:f>NORM.S.DIST(M299,FALSE)*NORM.S.DIST(($H$10-$H$7*M299)/SQRT(1-$H$7^2),TRUE)</x:f>
        <x:v>0.026063343102836506</x:v>
      </x:c>
      <x:c r="P299" s="84" t="n">
        <x:f>N299*O299</x:f>
        <x:v>0.10425337241134602</x:v>
      </x:c>
      <x:c r="Q299" s="84" t="n">
        <x:f>$C$14+(($H$9-$C$14)/$C$13)*L299</x:f>
        <x:v>-2.460839535807339</x:v>
      </x:c>
      <x:c r="R299" s="84" t="n">
        <x:f>NORM.S.DIST(Q299,FALSE)*NORM.S.DIST(($H$11-$H$7*Q299)/SQRT(1-$H$7^2),TRUE)</x:f>
        <x:v>0.01905089329769011</x:v>
      </x:c>
      <x:c r="S299" s="84" t="n">
        <x:f>N299*R299</x:f>
        <x:v>0.07620357319076045</x:v>
      </x:c>
    </x:row>
    <x:row r="300">
      <x:c r="L300" s="64" t="n">
        <x:f>294</x:f>
        <x:v>294</x:v>
      </x:c>
      <x:c r="M300" s="84" t="n">
        <x:f>$C$14+(($H$8-$C$14)/$C$13)*L300</x:f>
        <x:v>-2.31330955128791</x:v>
      </x:c>
      <x:c r="N300" s="84" t="n">
        <x:f>IF(OR(L300=0,L300=$C$13),1,IF(MOD(L300,2)=0,2,4))</x:f>
        <x:v>2</x:v>
      </x:c>
      <x:c r="O300" s="84" t="n">
        <x:f>NORM.S.DIST(M300,FALSE)*NORM.S.DIST(($H$10-$H$7*M300)/SQRT(1-$H$7^2),TRUE)</x:f>
        <x:v>0.027249704628300953</x:v>
      </x:c>
      <x:c r="P300" s="84" t="n">
        <x:f>N300*O300</x:f>
        <x:v>0.054499409256601905</x:v>
      </x:c>
      <x:c r="Q300" s="84" t="n">
        <x:f>$C$14+(($H$9-$C$14)/$C$13)*L300</x:f>
        <x:v>-2.4419345512879103</x:v>
      </x:c>
      <x:c r="R300" s="84" t="n">
        <x:f>NORM.S.DIST(Q300,FALSE)*NORM.S.DIST(($H$11-$H$7*Q300)/SQRT(1-$H$7^2),TRUE)</x:f>
        <x:v>0.019940838957188987</x:v>
      </x:c>
      <x:c r="S300" s="84" t="n">
        <x:f>N300*R300</x:f>
        <x:v>0.03988167791437797</x:v>
      </x:c>
    </x:row>
    <x:row r="301">
      <x:c r="L301" s="64" t="n">
        <x:f>295</x:f>
        <x:v>295</x:v>
      </x:c>
      <x:c r="M301" s="84" t="n">
        <x:f>$C$14+(($H$8-$C$14)/$C$13)*L301</x:f>
        <x:v>-2.293967066768481</x:v>
      </x:c>
      <x:c r="N301" s="84" t="n">
        <x:f>IF(OR(L301=0,L301=$C$13),1,IF(MOD(L301,2)=0,2,4))</x:f>
        <x:v>4</x:v>
      </x:c>
      <x:c r="O301" s="84" t="n">
        <x:f>NORM.S.DIST(M301,FALSE)*NORM.S.DIST(($H$10-$H$7*M301)/SQRT(1-$H$7^2),TRUE)</x:f>
        <x:v>0.028478835794869917</x:v>
      </x:c>
      <x:c r="P301" s="84" t="n">
        <x:f>N301*O301</x:f>
        <x:v>0.11391534317947967</x:v>
      </x:c>
      <x:c r="Q301" s="84" t="n">
        <x:f>$C$14+(($H$9-$C$14)/$C$13)*L301</x:f>
        <x:v>-2.4230295667684807</x:v>
      </x:c>
      <x:c r="R301" s="84" t="n">
        <x:f>NORM.S.DIST(Q301,FALSE)*NORM.S.DIST(($H$11-$H$7*Q301)/SQRT(1-$H$7^2),TRUE)</x:f>
        <x:v>0.02086428353396712</x:v>
      </x:c>
      <x:c r="S301" s="84" t="n">
        <x:f>N301*R301</x:f>
        <x:v>0.08345713413586849</x:v>
      </x:c>
    </x:row>
    <x:row r="302">
      <x:c r="L302" s="64" t="n">
        <x:f>296</x:f>
        <x:v>296</x:v>
      </x:c>
      <x:c r="M302" s="84" t="n">
        <x:f>$C$14+(($H$8-$C$14)/$C$13)*L302</x:f>
        <x:v>-2.274624582249052</x:v>
      </x:c>
      <x:c r="N302" s="84" t="n">
        <x:f>IF(OR(L302=0,L302=$C$13),1,IF(MOD(L302,2)=0,2,4))</x:f>
        <x:v>2</x:v>
      </x:c>
      <x:c r="O302" s="84" t="n">
        <x:f>NORM.S.DIST(M302,FALSE)*NORM.S.DIST(($H$10-$H$7*M302)/SQRT(1-$H$7^2),TRUE)</x:f>
        <x:v>0.02975165077061983</x:v>
      </x:c>
      <x:c r="P302" s="84" t="n">
        <x:f>N302*O302</x:f>
        <x:v>0.05950330154123966</x:v>
      </x:c>
      <x:c r="Q302" s="84" t="n">
        <x:f>$C$14+(($H$9-$C$14)/$C$13)*L302</x:f>
        <x:v>-2.404124582249052</x:v>
      </x:c>
      <x:c r="R302" s="84" t="n">
        <x:f>NORM.S.DIST(Q302,FALSE)*NORM.S.DIST(($H$11-$H$7*Q302)/SQRT(1-$H$7^2),TRUE)</x:f>
        <x:v>0.02182202506291075</x:v>
      </x:c>
      <x:c r="S302" s="84" t="n">
        <x:f>N302*R302</x:f>
        <x:v>0.0436440501258215</x:v>
      </x:c>
    </x:row>
    <x:row r="303">
      <x:c r="L303" s="64" t="n">
        <x:f>297</x:f>
        <x:v>297</x:v>
      </x:c>
      <x:c r="M303" s="84" t="n">
        <x:f>$C$14+(($H$8-$C$14)/$C$13)*L303</x:f>
        <x:v>-2.255282097729623</x:v>
      </x:c>
      <x:c r="N303" s="84" t="n">
        <x:f>IF(OR(L303=0,L303=$C$13),1,IF(MOD(L303,2)=0,2,4))</x:f>
        <x:v>4</x:v>
      </x:c>
      <x:c r="O303" s="84" t="n">
        <x:f>NORM.S.DIST(M303,FALSE)*NORM.S.DIST(($H$10-$H$7*M303)/SQRT(1-$H$7^2),TRUE)</x:f>
        <x:v>0.031069048006720314</x:v>
      </x:c>
      <x:c r="P303" s="84" t="n">
        <x:f>N303*O303</x:f>
        <x:v>0.12427619202688125</x:v>
      </x:c>
      <x:c r="Q303" s="84" t="n">
        <x:f>$C$14+(($H$9-$C$14)/$C$13)*L303</x:f>
        <x:v>-2.3852195977296233</x:v>
      </x:c>
      <x:c r="R303" s="84" t="n">
        <x:f>NORM.S.DIST(Q303,FALSE)*NORM.S.DIST(($H$11-$H$7*Q303)/SQRT(1-$H$7^2),TRUE)</x:f>
        <x:v>0.022814854058224112</x:v>
      </x:c>
      <x:c r="S303" s="84" t="n">
        <x:f>N303*R303</x:f>
        <x:v>0.09125941623289645</x:v>
      </x:c>
    </x:row>
    <x:row r="304">
      <x:c r="L304" s="64" t="n">
        <x:f>298</x:f>
        <x:v>298</x:v>
      </x:c>
      <x:c r="M304" s="84" t="n">
        <x:f>$C$14+(($H$8-$C$14)/$C$13)*L304</x:f>
        <x:v>-2.235939613210194</x:v>
      </x:c>
      <x:c r="N304" s="84" t="n">
        <x:f>IF(OR(L304=0,L304=$C$13),1,IF(MOD(L304,2)=0,2,4))</x:f>
        <x:v>2</x:v>
      </x:c>
      <x:c r="O304" s="84" t="n">
        <x:f>NORM.S.DIST(M304,FALSE)*NORM.S.DIST(($H$10-$H$7*M304)/SQRT(1-$H$7^2),TRUE)</x:f>
        <x:v>0.03243190772431352</x:v>
      </x:c>
      <x:c r="P304" s="84" t="n">
        <x:f>N304*O304</x:f>
        <x:v>0.06486381544862704</x:v>
      </x:c>
      <x:c r="Q304" s="84" t="n">
        <x:f>$C$14+(($H$9-$C$14)/$C$13)*L304</x:f>
        <x:v>-2.3663146132101947</x:v>
      </x:c>
      <x:c r="R304" s="84" t="n">
        <x:f>NORM.S.DIST(Q304,FALSE)*NORM.S.DIST(($H$11-$H$7*Q304)/SQRT(1-$H$7^2),TRUE)</x:f>
        <x:v>0.023843551594203857</x:v>
      </x:c>
      <x:c r="S304" s="84" t="n">
        <x:f>N304*R304</x:f>
        <x:v>0.047687103188407715</x:v>
      </x:c>
    </x:row>
    <x:row r="305">
      <x:c r="L305" s="64" t="n">
        <x:f>299</x:f>
        <x:v>299</x:v>
      </x:c>
      <x:c r="M305" s="84" t="n">
        <x:f>$C$14+(($H$8-$C$14)/$C$13)*L305</x:f>
        <x:v>-2.2165971286907658</x:v>
      </x:c>
      <x:c r="N305" s="84" t="n">
        <x:f>IF(OR(L305=0,L305=$C$13),1,IF(MOD(L305,2)=0,2,4))</x:f>
        <x:v>4</x:v>
      </x:c>
      <x:c r="O305" s="84" t="n">
        <x:f>NORM.S.DIST(M305,FALSE)*NORM.S.DIST(($H$10-$H$7*M305)/SQRT(1-$H$7^2),TRUE)</x:f>
        <x:v>0.033841089306389883</x:v>
      </x:c>
      <x:c r="P305" s="84" t="n">
        <x:f>N305*O305</x:f>
        <x:v>0.13536435722555953</x:v>
      </x:c>
      <x:c r="Q305" s="84" t="n">
        <x:f>$C$14+(($H$9-$C$14)/$C$13)*L305</x:f>
        <x:v>-2.347409628690765</x:v>
      </x:c>
      <x:c r="R305" s="84" t="n">
        <x:f>NORM.S.DIST(Q305,FALSE)*NORM.S.DIST(($H$11-$H$7*Q305)/SQRT(1-$H$7^2),TRUE)</x:f>
        <x:v>0.02490888730002869</x:v>
      </x:c>
      <x:c r="S305" s="84" t="n">
        <x:f>N305*R305</x:f>
        <x:v>0.09963554920011476</x:v>
      </x:c>
    </x:row>
    <x:row r="306">
      <x:c r="L306" s="64" t="n">
        <x:f>300</x:f>
        <x:v>300</x:v>
      </x:c>
      <x:c r="M306" s="84" t="n">
        <x:f>$C$14+(($H$8-$C$14)/$C$13)*L306</x:f>
        <x:v>-2.1972546441713368</x:v>
      </x:c>
      <x:c r="N306" s="84" t="n">
        <x:f>IF(OR(L306=0,L306=$C$13),1,IF(MOD(L306,2)=0,2,4))</x:f>
        <x:v>2</x:v>
      </x:c>
      <x:c r="O306" s="84" t="n">
        <x:f>NORM.S.DIST(M306,FALSE)*NORM.S.DIST(($H$10-$H$7*M306)/SQRT(1-$H$7^2),TRUE)</x:f>
        <x:v>0.03529742859655746</x:v>
      </x:c>
      <x:c r="P306" s="84" t="n">
        <x:f>N306*O306</x:f>
        <x:v>0.07059485719311492</x:v>
      </x:c>
      <x:c r="Q306" s="84" t="n">
        <x:f>$C$14+(($H$9-$C$14)/$C$13)*L306</x:f>
        <x:v>-2.3285046441713364</x:v>
      </x:c>
      <x:c r="R306" s="84" t="n">
        <x:f>NORM.S.DIST(Q306,FALSE)*NORM.S.DIST(($H$11-$H$7*Q306)/SQRT(1-$H$7^2),TRUE)</x:f>
        <x:v>0.026011617269314852</x:v>
      </x:c>
      <x:c r="S306" s="84" t="n">
        <x:f>N306*R306</x:f>
        <x:v>0.052023234538629705</x:v>
      </x:c>
    </x:row>
    <x:row r="307">
      <x:c r="L307" s="64" t="n">
        <x:f>301</x:f>
        <x:v>301</x:v>
      </x:c>
      <x:c r="M307" s="84" t="n">
        <x:f>$C$14+(($H$8-$C$14)/$C$13)*L307</x:f>
        <x:v>-2.1779121596519078</x:v>
      </x:c>
      <x:c r="N307" s="84" t="n">
        <x:f>IF(OR(L307=0,L307=$C$13),1,IF(MOD(L307,2)=0,2,4))</x:f>
        <x:v>4</x:v>
      </x:c>
      <x:c r="O307" s="84" t="n">
        <x:f>NORM.S.DIST(M307,FALSE)*NORM.S.DIST(($H$10-$H$7*M307)/SQRT(1-$H$7^2),TRUE)</x:f>
        <x:v>0.03680173510702858</x:v>
      </x:c>
      <x:c r="P307" s="84" t="n">
        <x:f>N307*O307</x:f>
        <x:v>0.14720694042811433</x:v>
      </x:c>
      <x:c r="Q307" s="84" t="n">
        <x:f>$C$14+(($H$9-$C$14)/$C$13)*L307</x:f>
        <x:v>-2.3095996596519077</x:v>
      </x:c>
      <x:c r="R307" s="84" t="n">
        <x:f>NORM.S.DIST(Q307,FALSE)*NORM.S.DIST(($H$11-$H$7*Q307)/SQRT(1-$H$7^2),TRUE)</x:f>
        <x:v>0.027152481885533597</x:v>
      </x:c>
      <x:c r="S307" s="84" t="n">
        <x:f>N307*R307</x:f>
        <x:v>0.10860992754213439</x:v>
      </x:c>
    </x:row>
    <x:row r="308">
      <x:c r="L308" s="64" t="n">
        <x:f>302</x:f>
        <x:v>302</x:v>
      </x:c>
      <x:c r="M308" s="84" t="n">
        <x:f>$C$14+(($H$8-$C$14)/$C$13)*L308</x:f>
        <x:v>-2.1585696751324788</x:v>
      </x:c>
      <x:c r="N308" s="84" t="n">
        <x:f>IF(OR(L308=0,L308=$C$13),1,IF(MOD(L308,2)=0,2,4))</x:f>
        <x:v>2</x:v>
      </x:c>
      <x:c r="O308" s="84" t="n">
        <x:f>NORM.S.DIST(M308,FALSE)*NORM.S.DIST(($H$10-$H$7*M308)/SQRT(1-$H$7^2),TRUE)</x:f>
        <x:v>0.03835478913859619</x:v>
      </x:c>
      <x:c r="P308" s="84" t="n">
        <x:f>N308*O308</x:f>
        <x:v>0.07670957827719238</x:v>
      </x:c>
      <x:c r="Q308" s="84" t="n">
        <x:f>$C$14+(($H$9-$C$14)/$C$13)*L308</x:f>
        <x:v>-2.290694675132479</x:v>
      </x:c>
      <x:c r="R308" s="84" t="n">
        <x:f>NORM.S.DIST(Q308,FALSE)*NORM.S.DIST(($H$11-$H$7*Q308)/SQRT(1-$H$7^2),TRUE)</x:f>
        <x:v>0.02833220356474685</x:v>
      </x:c>
      <x:c r="S308" s="84" t="n">
        <x:f>N308*R308</x:f>
        <x:v>0.0566644071294937</x:v>
      </x:c>
    </x:row>
    <x:row r="309">
      <x:c r="L309" s="64" t="n">
        <x:f>303</x:f>
        <x:v>303</x:v>
      </x:c>
      <x:c r="M309" s="84" t="n">
        <x:f>$C$14+(($H$8-$C$14)/$C$13)*L309</x:f>
        <x:v>-2.13922719061305</x:v>
      </x:c>
      <x:c r="N309" s="84" t="n">
        <x:f>IF(OR(L309=0,L309=$C$13),1,IF(MOD(L309,2)=0,2,4))</x:f>
        <x:v>4</x:v>
      </x:c>
      <x:c r="O309" s="84" t="n">
        <x:f>NORM.S.DIST(M309,FALSE)*NORM.S.DIST(($H$10-$H$7*M309)/SQRT(1-$H$7^2),TRUE)</x:f>
        <x:v>0.03995733881583506</x:v>
      </x:c>
      <x:c r="P309" s="84" t="n">
        <x:f>N309*O309</x:f>
        <x:v>0.15982935526334024</x:v>
      </x:c>
      <x:c r="Q309" s="84" t="n">
        <x:f>$C$14+(($H$9-$C$14)/$C$13)*L309</x:f>
        <x:v>-2.2717896906130504</x:v>
      </x:c>
      <x:c r="R309" s="84" t="n">
        <x:f>NORM.S.DIST(Q309,FALSE)*NORM.S.DIST(($H$11-$H$7*Q309)/SQRT(1-$H$7^2),TRUE)</x:f>
        <x:v>0.029551484417499357</x:v>
      </x:c>
      <x:c r="S309" s="84" t="n">
        <x:f>N309*R309</x:f>
        <x:v>0.11820593766999743</x:v>
      </x:c>
    </x:row>
    <x:row r="310">
      <x:c r="L310" s="64" t="n">
        <x:f>304</x:f>
        <x:v>304</x:v>
      </x:c>
      <x:c r="M310" s="84" t="n">
        <x:f>$C$14+(($H$8-$C$14)/$C$13)*L310</x:f>
        <x:v>-2.119884706093621</x:v>
      </x:c>
      <x:c r="N310" s="84" t="n">
        <x:f>IF(OR(L310=0,L310=$C$13),1,IF(MOD(L310,2)=0,2,4))</x:f>
        <x:v>2</x:v>
      </x:c>
      <x:c r="O310" s="84" t="n">
        <x:f>NORM.S.DIST(M310,FALSE)*NORM.S.DIST(($H$10-$H$7*M310)/SQRT(1-$H$7^2),TRUE)</x:f>
        <x:v>0.04161009704124783</x:v>
      </x:c>
      <x:c r="P310" s="84" t="n">
        <x:f>N310*O310</x:f>
        <x:v>0.08322019408249566</x:v>
      </x:c>
      <x:c r="Q310" s="84" t="n">
        <x:f>$C$14+(($H$9-$C$14)/$C$13)*L310</x:f>
        <x:v>-2.252884706093621</x:v>
      </x:c>
      <x:c r="R310" s="84" t="n">
        <x:f>NORM.S.DIST(Q310,FALSE)*NORM.S.DIST(($H$11-$H$7*Q310)/SQRT(1-$H$7^2),TRUE)</x:f>
        <x:v>0.03081100383210219</x:v>
      </x:c>
      <x:c r="S310" s="84" t="n">
        <x:f>N310*R310</x:f>
        <x:v>0.06162200766420438</x:v>
      </x:c>
    </x:row>
    <x:row r="311">
      <x:c r="L311" s="64" t="n">
        <x:f>305</x:f>
        <x:v>305</x:v>
      </x:c>
      <x:c r="M311" s="84" t="n">
        <x:f>$C$14+(($H$8-$C$14)/$C$13)*L311</x:f>
        <x:v>-2.100542221574192</x:v>
      </x:c>
      <x:c r="N311" s="84" t="n">
        <x:f>IF(OR(L311=0,L311=$C$13),1,IF(MOD(L311,2)=0,2,4))</x:f>
        <x:v>4</x:v>
      </x:c>
      <x:c r="O311" s="84" t="n">
        <x:f>NORM.S.DIST(M311,FALSE)*NORM.S.DIST(($H$10-$H$7*M311)/SQRT(1-$H$7^2),TRUE)</x:f>
        <x:v>0.04331373837257391</x:v>
      </x:c>
      <x:c r="P311" s="84" t="n">
        <x:f>N311*O311</x:f>
        <x:v>0.17325495349029563</x:v>
      </x:c>
      <x:c r="Q311" s="84" t="n">
        <x:f>$C$14+(($H$9-$C$14)/$C$13)*L311</x:f>
        <x:v>-2.233979721574192</x:v>
      </x:c>
      <x:c r="R311" s="84" t="n">
        <x:f>NORM.S.DIST(Q311,FALSE)*NORM.S.DIST(($H$11-$H$7*Q311)/SQRT(1-$H$7^2),TRUE)</x:f>
        <x:v>0.03211141598195688</x:v>
      </x:c>
      <x:c r="S311" s="84" t="n">
        <x:f>N311*R311</x:f>
        <x:v>0.12844566392782752</x:v>
      </x:c>
    </x:row>
    <x:row r="312">
      <x:c r="L312" s="64" t="n">
        <x:f>306</x:f>
        <x:v>306</x:v>
      </x:c>
      <x:c r="M312" s="84" t="n">
        <x:f>$C$14+(($H$8-$C$14)/$C$13)*L312</x:f>
        <x:v>-2.081199737054763</x:v>
      </x:c>
      <x:c r="N312" s="84" t="n">
        <x:f>IF(OR(L312=0,L312=$C$13),1,IF(MOD(L312,2)=0,2,4))</x:f>
        <x:v>2</x:v>
      </x:c>
      <x:c r="O312" s="84" t="n">
        <x:f>NORM.S.DIST(M312,FALSE)*NORM.S.DIST(($H$10-$H$7*M312)/SQRT(1-$H$7^2),TRUE)</x:f>
        <x:v>0.04506889582799547</x:v>
      </x:c>
      <x:c r="P312" s="84" t="n">
        <x:f>N312*O312</x:f>
        <x:v>0.09013779165599094</x:v>
      </x:c>
      <x:c r="Q312" s="84" t="n">
        <x:f>$C$14+(($H$9-$C$14)/$C$13)*L312</x:f>
        <x:v>-2.2150747370547634</x:v>
      </x:c>
      <x:c r="R312" s="84" t="n">
        <x:f>NORM.S.DIST(Q312,FALSE)*NORM.S.DIST(($H$11-$H$7*Q312)/SQRT(1-$H$7^2),TRUE)</x:f>
        <x:v>0.03345334726000114</x:v>
      </x:c>
      <x:c r="S312" s="84" t="n">
        <x:f>N312*R312</x:f>
        <x:v>0.06690669452000228</x:v>
      </x:c>
    </x:row>
    <x:row r="313">
      <x:c r="L313" s="64" t="n">
        <x:f>307</x:f>
        <x:v>307</x:v>
      </x:c>
      <x:c r="M313" s="84" t="n">
        <x:f>$C$14+(($H$8-$C$14)/$C$13)*L313</x:f>
        <x:v>-2.0618572525353347</x:v>
      </x:c>
      <x:c r="N313" s="84" t="n">
        <x:f>IF(OR(L313=0,L313=$C$13),1,IF(MOD(L313,2)=0,2,4))</x:f>
        <x:v>4</x:v>
      </x:c>
      <x:c r="O313" s="84" t="n">
        <x:f>NORM.S.DIST(M313,FALSE)*NORM.S.DIST(($H$10-$H$7*M313)/SQRT(1-$H$7^2),TRUE)</x:f>
        <x:v>0.04687615762450339</x:v>
      </x:c>
      <x:c r="P313" s="84" t="n">
        <x:f>N313*O313</x:f>
        <x:v>0.18750463049801355</x:v>
      </x:c>
      <x:c r="Q313" s="84" t="n">
        <x:f>$C$14+(($H$9-$C$14)/$C$13)*L313</x:f>
        <x:v>-2.1961697525353348</x:v>
      </x:c>
      <x:c r="R313" s="84" t="n">
        <x:f>NORM.S.DIST(Q313,FALSE)*NORM.S.DIST(($H$11-$H$7*Q313)/SQRT(1-$H$7^2),TRUE)</x:f>
        <x:v>0.034837393643800604</x:v>
      </x:c>
      <x:c r="S313" s="84" t="n">
        <x:f>N313*R313</x:f>
        <x:v>0.13934957457520242</x:v>
      </x:c>
    </x:row>
    <x:row r="314">
      <x:c r="L314" s="64" t="n">
        <x:f>308</x:f>
        <x:v>308</x:v>
      </x:c>
      <x:c r="M314" s="84" t="n">
        <x:f>$C$14+(($H$8-$C$14)/$C$13)*L314</x:f>
        <x:v>-2.0425147680159057</x:v>
      </x:c>
      <x:c r="N314" s="84" t="n">
        <x:f>IF(OR(L314=0,L314=$C$13),1,IF(MOD(L314,2)=0,2,4))</x:f>
        <x:v>2</x:v>
      </x:c>
      <x:c r="O314" s="84" t="n">
        <x:f>NORM.S.DIST(M314,FALSE)*NORM.S.DIST(($H$10-$H$7*M314)/SQRT(1-$H$7^2),TRUE)</x:f>
        <x:v>0.04873606385522951</x:v>
      </x:c>
      <x:c r="P314" s="84" t="n">
        <x:f>N314*O314</x:f>
        <x:v>0.09747212771045902</x:v>
      </x:c>
      <x:c r="Q314" s="84" t="n">
        <x:f>$C$14+(($H$9-$C$14)/$C$13)*L314</x:f>
        <x:v>-2.177264768015905</x:v>
      </x:c>
      <x:c r="R314" s="84" t="n">
        <x:f>NORM.S.DIST(Q314,FALSE)*NORM.S.DIST(($H$11-$H$7*Q314)/SQRT(1-$H$7^2),TRUE)</x:f>
        <x:v>0.03626411799527226</x:v>
      </x:c>
      <x:c r="S314" s="84" t="n">
        <x:f>N314*R314</x:f>
        <x:v>0.07252823599054452</x:v>
      </x:c>
    </x:row>
    <x:row r="315">
      <x:c r="L315" s="64" t="n">
        <x:f>309</x:f>
        <x:v>309</x:v>
      </x:c>
      <x:c r="M315" s="84" t="n">
        <x:f>$C$14+(($H$8-$C$14)/$C$13)*L315</x:f>
        <x:v>-2.0231722834964767</x:v>
      </x:c>
      <x:c r="N315" s="84" t="n">
        <x:f>IF(OR(L315=0,L315=$C$13),1,IF(MOD(L315,2)=0,2,4))</x:f>
        <x:v>4</x:v>
      </x:c>
      <x:c r="O315" s="84" t="n">
        <x:f>NORM.S.DIST(M315,FALSE)*NORM.S.DIST(($H$10-$H$7*M315)/SQRT(1-$H$7^2),TRUE)</x:f>
        <x:v>0.050649103112102814</x:v>
      </x:c>
      <x:c r="P315" s="84" t="n">
        <x:f>N315*O315</x:f>
        <x:v>0.20259641244841126</x:v>
      </x:c>
      <x:c r="Q315" s="84" t="n">
        <x:f>$C$14+(($H$9-$C$14)/$C$13)*L315</x:f>
        <x:v>-2.1583597834964765</x:v>
      </x:c>
      <x:c r="R315" s="84" t="n">
        <x:f>NORM.S.DIST(Q315,FALSE)*NORM.S.DIST(($H$11-$H$7*Q315)/SQRT(1-$H$7^2),TRUE)</x:f>
        <x:v>0.03773404729949602</x:v>
      </x:c>
      <x:c r="S315" s="84" t="n">
        <x:f>N315*R315</x:f>
        <x:v>0.15093618919798407</x:v>
      </x:c>
    </x:row>
    <x:row r="316">
      <x:c r="L316" s="64" t="n">
        <x:f>310</x:f>
        <x:v>310</x:v>
      </x:c>
      <x:c r="M316" s="84" t="n">
        <x:f>$C$14+(($H$8-$C$14)/$C$13)*L316</x:f>
        <x:v>-2.0038297989770477</x:v>
      </x:c>
      <x:c r="N316" s="84" t="n">
        <x:f>IF(OR(L316=0,L316=$C$13),1,IF(MOD(L316,2)=0,2,4))</x:f>
        <x:v>2</x:v>
      </x:c>
      <x:c r="O316" s="84" t="n">
        <x:f>NORM.S.DIST(M316,FALSE)*NORM.S.DIST(($H$10-$H$7*M316)/SQRT(1-$H$7^2),TRUE)</x:f>
        <x:v>0.0526157090607536</x:v>
      </x:c>
      <x:c r="P316" s="84" t="n">
        <x:f>N316*O316</x:f>
        <x:v>0.1052314181215072</x:v>
      </x:c>
      <x:c r="Q316" s="84" t="n">
        <x:f>$C$14+(($H$9-$C$14)/$C$13)*L316</x:f>
        <x:v>-2.139454798977048</x:v>
      </x:c>
      <x:c r="R316" s="84" t="n">
        <x:f>NORM.S.DIST(Q316,FALSE)*NORM.S.DIST(($H$11-$H$7*Q316)/SQRT(1-$H$7^2),TRUE)</x:f>
        <x:v>0.03924766984755556</x:v>
      </x:c>
      <x:c r="S316" s="84" t="n">
        <x:f>N316*R316</x:f>
        <x:v>0.07849533969511112</x:v>
      </x:c>
    </x:row>
    <x:row r="317">
      <x:c r="L317" s="64" t="n">
        <x:f>311</x:f>
        <x:v>311</x:v>
      </x:c>
      <x:c r="M317" s="84" t="n">
        <x:f>$C$14+(($H$8-$C$14)/$C$13)*L317</x:f>
        <x:v>-1.9844873144576187</x:v>
      </x:c>
      <x:c r="N317" s="84" t="n">
        <x:f>IF(OR(L317=0,L317=$C$13),1,IF(MOD(L317,2)=0,2,4))</x:f>
        <x:v>4</x:v>
      </x:c>
      <x:c r="O317" s="84" t="n">
        <x:f>NORM.S.DIST(M317,FALSE)*NORM.S.DIST(($H$10-$H$7*M317)/SQRT(1-$H$7^2),TRUE)</x:f>
        <x:v>0.05463625697515672</x:v>
      </x:c>
      <x:c r="P317" s="84" t="n">
        <x:f>N317*O317</x:f>
        <x:v>0.21854502790062688</x:v>
      </x:c>
      <x:c r="Q317" s="84" t="n">
        <x:f>$C$14+(($H$9-$C$14)/$C$13)*L317</x:f>
        <x:v>-2.120549814457619</x:v>
      </x:c>
      <x:c r="R317" s="84" t="n">
        <x:f>NORM.S.DIST(Q317,FALSE)*NORM.S.DIST(($H$11-$H$7*Q317)/SQRT(1-$H$7^2),TRUE)</x:f>
        <x:v>0.040805432368840426</x:v>
      </x:c>
      <x:c r="S317" s="84" t="n">
        <x:f>N317*R317</x:f>
        <x:v>0.1632217294753617</x:v>
      </x:c>
    </x:row>
    <x:row r="318">
      <x:c r="L318" s="64" t="n">
        <x:f>312</x:f>
        <x:v>312</x:v>
      </x:c>
      <x:c r="M318" s="84" t="n">
        <x:f>$C$14+(($H$8-$C$14)/$C$13)*L318</x:f>
        <x:v>-1.9651448299381897</x:v>
      </x:c>
      <x:c r="N318" s="84" t="n">
        <x:f>IF(OR(L318=0,L318=$C$13),1,IF(MOD(L318,2)=0,2,4))</x:f>
        <x:v>2</x:v>
      </x:c>
      <x:c r="O318" s="84" t="n">
        <x:f>NORM.S.DIST(M318,FALSE)*NORM.S.DIST(($H$10-$H$7*M318)/SQRT(1-$H$7^2),TRUE)</x:f>
        <x:v>0.05671106024008259</x:v>
      </x:c>
      <x:c r="P318" s="84" t="n">
        <x:f>N318*O318</x:f>
        <x:v>0.11342212048016519</x:v>
      </x:c>
      <x:c r="Q318" s="84" t="n">
        <x:f>$C$14+(($H$9-$C$14)/$C$13)*L318</x:f>
        <x:v>-2.1016448299381905</x:v>
      </x:c>
      <x:c r="R318" s="84" t="n">
        <x:f>NORM.S.DIST(Q318,FALSE)*NORM.S.DIST(($H$11-$H$7*Q318)/SQRT(1-$H$7^2),TRUE)</x:f>
        <x:v>0.04240773711874374</x:v>
      </x:c>
      <x:c r="S318" s="84" t="n">
        <x:f>N318*R318</x:f>
        <x:v>0.08481547423748748</x:v>
      </x:c>
    </x:row>
    <x:row r="319">
      <x:c r="L319" s="64" t="n">
        <x:f>313</x:f>
        <x:v>313</x:v>
      </x:c>
      <x:c r="M319" s="84" t="n">
        <x:f>$C$14+(($H$8-$C$14)/$C$13)*L319</x:f>
        <x:v>-1.9458023454187607</x:v>
      </x:c>
      <x:c r="N319" s="84" t="n">
        <x:f>IF(OR(L319=0,L319=$C$13),1,IF(MOD(L319,2)=0,2,4))</x:f>
        <x:v>4</x:v>
      </x:c>
      <x:c r="O319" s="84" t="n">
        <x:f>NORM.S.DIST(M319,FALSE)*NORM.S.DIST(($H$10-$H$7*M319)/SQRT(1-$H$7^2),TRUE)</x:f>
        <x:v>0.05884036683000239</x:v>
      </x:c>
      <x:c r="P319" s="84" t="n">
        <x:f>N319*O319</x:f>
        <x:v>0.23536146732000957</x:v>
      </x:c>
      <x:c r="Q319" s="84" t="n">
        <x:f>$C$14+(($H$9-$C$14)/$C$13)*L319</x:f>
        <x:v>-2.082739845418761</x:v>
      </x:c>
      <x:c r="R319" s="84" t="n">
        <x:f>NORM.S.DIST(Q319,FALSE)*NORM.S.DIST(($H$11-$H$7*Q319)/SQRT(1-$H$7^2),TRUE)</x:f>
        <x:v>0.044054938928196216</x:v>
      </x:c>
      <x:c r="S319" s="84" t="n">
        <x:f>N319*R319</x:f>
        <x:v>0.17621975571278486</x:v>
      </x:c>
    </x:row>
    <x:row r="320">
      <x:c r="L320" s="64" t="n">
        <x:f>314</x:f>
        <x:v>314</x:v>
      </x:c>
      <x:c r="M320" s="84" t="n">
        <x:f>$C$14+(($H$8-$C$14)/$C$13)*L320</x:f>
        <x:v>-1.9264598608993317</x:v>
      </x:c>
      <x:c r="N320" s="84" t="n">
        <x:f>IF(OR(L320=0,L320=$C$13),1,IF(MOD(L320,2)=0,2,4))</x:f>
        <x:v>2</x:v>
      </x:c>
      <x:c r="O320" s="84" t="n">
        <x:f>NORM.S.DIST(M320,FALSE)*NORM.S.DIST(($H$10-$H$7*M320)/SQRT(1-$H$7^2),TRUE)</x:f>
        <x:v>0.06102435577367282</x:v>
      </x:c>
      <x:c r="P320" s="84" t="n">
        <x:f>N320*O320</x:f>
        <x:v>0.12204871154734565</x:v>
      </x:c>
      <x:c r="Q320" s="84" t="n">
        <x:f>$C$14+(($H$9-$C$14)/$C$13)*L320</x:f>
        <x:v>-2.063834860899332</x:v>
      </x:c>
      <x:c r="R320" s="84" t="n">
        <x:f>NORM.S.DIST(Q320,FALSE)*NORM.S.DIST(($H$11-$H$7*Q320)/SQRT(1-$H$7^2),TRUE)</x:f>
        <x:v>0.045747342221986335</x:v>
      </x:c>
      <x:c r="S320" s="84" t="n">
        <x:f>N320*R320</x:f>
        <x:v>0.09149468444397267</x:v>
      </x:c>
    </x:row>
    <x:row r="321">
      <x:c r="L321" s="64" t="n">
        <x:f>315</x:f>
        <x:v>315</x:v>
      </x:c>
      <x:c r="M321" s="84" t="n">
        <x:f>$C$14+(($H$8-$C$14)/$C$13)*L321</x:f>
        <x:v>-1.9071173763799036</x:v>
      </x:c>
      <x:c r="N321" s="84" t="n">
        <x:f>IF(OR(L321=0,L321=$C$13),1,IF(MOD(L321,2)=0,2,4))</x:f>
        <x:v>4</x:v>
      </x:c>
      <x:c r="O321" s="84" t="n">
        <x:f>NORM.S.DIST(M321,FALSE)*NORM.S.DIST(($H$10-$H$7*M321)/SQRT(1-$H$7^2),TRUE)</x:f>
        <x:v>0.06326313361420169</x:v>
      </x:c>
      <x:c r="P321" s="84" t="n">
        <x:f>N321*O321</x:f>
        <x:v>0.25305253445680675</x:v>
      </x:c>
      <x:c r="Q321" s="84" t="n">
        <x:f>$C$14+(($H$9-$C$14)/$C$13)*L321</x:f>
        <x:v>-2.0449298763799035</x:v>
      </x:c>
      <x:c r="R321" s="84" t="n">
        <x:f>NORM.S.DIST(Q321,FALSE)*NORM.S.DIST(($H$11-$H$7*Q321)/SQRT(1-$H$7^2),TRUE)</x:f>
        <x:v>0.04748519801333118</x:v>
      </x:c>
      <x:c r="S321" s="84" t="n">
        <x:f>N321*R321</x:f>
        <x:v>0.18994079205332473</x:v>
      </x:c>
    </x:row>
    <x:row r="322">
      <x:c r="L322" s="64" t="n">
        <x:f>316</x:f>
        <x:v>316</x:v>
      </x:c>
      <x:c r="M322" s="84" t="n">
        <x:f>$C$14+(($H$8-$C$14)/$C$13)*L322</x:f>
        <x:v>-1.8877748918604746</x:v>
      </x:c>
      <x:c r="N322" s="84" t="n">
        <x:f>IF(OR(L322=0,L322=$C$13),1,IF(MOD(L322,2)=0,2,4))</x:f>
        <x:v>2</x:v>
      </x:c>
      <x:c r="O322" s="84" t="n">
        <x:f>NORM.S.DIST(M322,FALSE)*NORM.S.DIST(($H$10-$H$7*M322)/SQRT(1-$H$7^2),TRUE)</x:f>
        <x:v>0.0655567308749673</x:v>
      </x:c>
      <x:c r="P322" s="84" t="n">
        <x:f>N322*O322</x:f>
        <x:v>0.1311134617499346</x:v>
      </x:c>
      <x:c r="Q322" s="84" t="n">
        <x:f>$C$14+(($H$9-$C$14)/$C$13)*L322</x:f>
        <x:v>-2.026024891860475</x:v>
      </x:c>
      <x:c r="R322" s="84" t="n">
        <x:f>NORM.S.DIST(Q322,FALSE)*NORM.S.DIST(($H$11-$H$7*Q322)/SQRT(1-$H$7^2),TRUE)</x:f>
        <x:v>0.04926870088267003</x:v>
      </x:c>
      <x:c r="S322" s="84" t="n">
        <x:f>N322*R322</x:f>
        <x:v>0.09853740176534007</x:v>
      </x:c>
    </x:row>
    <x:row r="323">
      <x:c r="L323" s="64" t="n">
        <x:f>317</x:f>
        <x:v>317</x:v>
      </x:c>
      <x:c r="M323" s="84" t="n">
        <x:f>$C$14+(($H$8-$C$14)/$C$13)*L323</x:f>
        <x:v>-1.8684324073410457</x:v>
      </x:c>
      <x:c r="N323" s="84" t="n">
        <x:f>IF(OR(L323=0,L323=$C$13),1,IF(MOD(L323,2)=0,2,4))</x:f>
        <x:v>4</x:v>
      </x:c>
      <x:c r="O323" s="84" t="n">
        <x:f>NORM.S.DIST(M323,FALSE)*NORM.S.DIST(($H$10-$H$7*M323)/SQRT(1-$H$7^2),TRUE)</x:f>
        <x:v>0.06790509854232457</x:v>
      </x:c>
      <x:c r="P323" s="84" t="n">
        <x:f>N323*O323</x:f>
        <x:v>0.2716203941692983</x:v>
      </x:c>
      <x:c r="Q323" s="84" t="n">
        <x:f>$C$14+(($H$9-$C$14)/$C$13)*L323</x:f>
        <x:v>-2.0071199073410453</x:v>
      </x:c>
      <x:c r="R323" s="84" t="n">
        <x:f>NORM.S.DIST(Q323,FALSE)*NORM.S.DIST(($H$11-$H$7*Q323)/SQRT(1-$H$7^2),TRUE)</x:f>
        <x:v>0.05109798594916357</x:v>
      </x:c>
      <x:c r="S323" s="84" t="n">
        <x:f>N323*R323</x:f>
        <x:v>0.2043919437966543</x:v>
      </x:c>
    </x:row>
    <x:row r="324">
      <x:c r="L324" s="64" t="n">
        <x:f>318</x:f>
        <x:v>318</x:v>
      </x:c>
      <x:c r="M324" s="84" t="n">
        <x:f>$C$14+(($H$8-$C$14)/$C$13)*L324</x:f>
        <x:v>-1.8490899228216167</x:v>
      </x:c>
      <x:c r="N324" s="84" t="n">
        <x:f>IF(OR(L324=0,L324=$C$13),1,IF(MOD(L324,2)=0,2,4))</x:f>
        <x:v>2</x:v>
      </x:c>
      <x:c r="O324" s="84" t="n">
        <x:f>NORM.S.DIST(M324,FALSE)*NORM.S.DIST(($H$10-$H$7*M324)/SQRT(1-$H$7^2),TRUE)</x:f>
        <x:v>0.07030810457658507</x:v>
      </x:c>
      <x:c r="P324" s="84" t="n">
        <x:f>N324*O324</x:f>
        <x:v>0.14061620915317014</x:v>
      </x:c>
      <x:c r="Q324" s="84" t="n">
        <x:f>$C$14+(($H$9-$C$14)/$C$13)*L324</x:f>
        <x:v>-1.9882149228216166</x:v>
      </x:c>
      <x:c r="R324" s="84" t="n">
        <x:f>NORM.S.DIST(Q324,FALSE)*NORM.S.DIST(($H$11-$H$7*Q324)/SQRT(1-$H$7^2),TRUE)</x:f>
        <x:v>0.052973125843880794</x:v>
      </x:c>
      <x:c r="S324" s="84" t="n">
        <x:f>N324*R324</x:f>
        <x:v>0.10594625168776159</x:v>
      </x:c>
    </x:row>
    <x:row r="325">
      <x:c r="L325" s="64" t="n">
        <x:f>319</x:f>
        <x:v>319</x:v>
      </x:c>
      <x:c r="M325" s="84" t="n">
        <x:f>$C$14+(($H$8-$C$14)/$C$13)*L325</x:f>
        <x:v>-1.8297474383021877</x:v>
      </x:c>
      <x:c r="N325" s="84" t="n">
        <x:f>IF(OR(L325=0,L325=$C$13),1,IF(MOD(L325,2)=0,2,4))</x:f>
        <x:v>4</x:v>
      </x:c>
      <x:c r="O325" s="84" t="n">
        <x:f>NORM.S.DIST(M325,FALSE)*NORM.S.DIST(($H$10-$H$7*M325)/SQRT(1-$H$7^2),TRUE)</x:f>
        <x:v>0.07276553046328894</x:v>
      </x:c>
      <x:c r="P325" s="84" t="n">
        <x:f>N325*O325</x:f>
        <x:v>0.2910621218531558</x:v>
      </x:c>
      <x:c r="Q325" s="84" t="n">
        <x:f>$C$14+(($H$9-$C$14)/$C$13)*L325</x:f>
        <x:v>-1.969309938302188</x:v>
      </x:c>
      <x:c r="R325" s="84" t="n">
        <x:f>NORM.S.DIST(Q325,FALSE)*NORM.S.DIST(($H$11-$H$7*Q325)/SQRT(1-$H$7^2),TRUE)</x:f>
        <x:v>0.054894127694150543</x:v>
      </x:c>
      <x:c r="S325" s="84" t="n">
        <x:f>N325*R325</x:f>
        <x:v>0.21957651077660217</x:v>
      </x:c>
    </x:row>
    <x:row r="326">
      <x:c r="L326" s="64" t="n">
        <x:f>320</x:f>
        <x:v>320</x:v>
      </x:c>
      <x:c r="M326" s="84" t="n">
        <x:f>$C$14+(($H$8-$C$14)/$C$13)*L326</x:f>
        <x:v>-1.8104049537827587</x:v>
      </x:c>
      <x:c r="N326" s="84" t="n">
        <x:f>IF(OR(L326=0,L326=$C$13),1,IF(MOD(L326,2)=0,2,4))</x:f>
        <x:v>2</x:v>
      </x:c>
      <x:c r="O326" s="84" t="n">
        <x:f>NORM.S.DIST(M326,FALSE)*NORM.S.DIST(($H$10-$H$7*M326)/SQRT(1-$H$7^2),TRUE)</x:f>
        <x:v>0.07527706781730653</x:v>
      </x:c>
      <x:c r="P326" s="84" t="n">
        <x:f>N326*O326</x:f>
        <x:v>0.15055413563461306</x:v>
      </x:c>
      <x:c r="Q326" s="84" t="n">
        <x:f>$C$14+(($H$9-$C$14)/$C$13)*L326</x:f>
        <x:v>-1.9504049537827592</x:v>
      </x:c>
      <x:c r="R326" s="84" t="n">
        <x:f>NORM.S.DIST(Q326,FALSE)*NORM.S.DIST(($H$11-$H$7*Q326)/SQRT(1-$H$7^2),TRUE)</x:f>
        <x:v>0.056860930129030825</x:v>
      </x:c>
      <x:c r="S326" s="84" t="n">
        <x:f>N326*R326</x:f>
        <x:v>0.11372186025806165</x:v>
      </x:c>
    </x:row>
    <x:row r="327">
      <x:c r="L327" s="64" t="n">
        <x:f>321</x:f>
        <x:v>321</x:v>
      </x:c>
      <x:c r="M327" s="84" t="n">
        <x:f>$C$14+(($H$8-$C$14)/$C$13)*L327</x:f>
        <x:v>-1.7910624692633297</x:v>
      </x:c>
      <x:c r="N327" s="84" t="n">
        <x:f>IF(OR(L327=0,L327=$C$13),1,IF(MOD(L327,2)=0,2,4))</x:f>
        <x:v>4</x:v>
      </x:c>
      <x:c r="O327" s="84" t="n">
        <x:f>NORM.S.DIST(M327,FALSE)*NORM.S.DIST(($H$10-$H$7*M327)/SQRT(1-$H$7^2),TRUE)</x:f>
        <x:v>0.07784231505279889</x:v>
      </x:c>
      <x:c r="P327" s="84" t="n">
        <x:f>N327*O327</x:f>
        <x:v>0.31136926021119554</x:v>
      </x:c>
      <x:c r="Q327" s="84" t="n">
        <x:f>$C$14+(($H$9-$C$14)/$C$13)*L327</x:f>
        <x:v>-1.9314999692633306</x:v>
      </x:c>
      <x:c r="R327" s="84" t="n">
        <x:f>NORM.S.DIST(Q327,FALSE)*NORM.S.DIST(($H$11-$H$7*Q327)/SQRT(1-$H$7^2),TRUE)</x:f>
        <x:v>0.05887340031631881</x:v>
      </x:c>
      <x:c r="S327" s="84" t="n">
        <x:f>N327*R327</x:f>
        <x:v>0.23549360126527524</x:v>
      </x:c>
    </x:row>
    <x:row r="328">
      <x:c r="L328" s="64" t="n">
        <x:f>322</x:f>
        <x:v>322</x:v>
      </x:c>
      <x:c r="M328" s="84" t="n">
        <x:f>$C$14+(($H$8-$C$14)/$C$13)*L328</x:f>
        <x:v>-1.7717199847439016</x:v>
      </x:c>
      <x:c r="N328" s="84" t="n">
        <x:f>IF(OR(L328=0,L328=$C$13),1,IF(MOD(L328,2)=0,2,4))</x:f>
        <x:v>2</x:v>
      </x:c>
      <x:c r="O328" s="84" t="n">
        <x:f>NORM.S.DIST(M328,FALSE)*NORM.S.DIST(($H$10-$H$7*M328)/SQRT(1-$H$7^2),TRUE)</x:f>
        <x:v>0.08046077413253387</x:v>
      </x:c>
      <x:c r="P328" s="84" t="n">
        <x:f>N328*O328</x:f>
        <x:v>0.16092154826506774</x:v>
      </x:c>
      <x:c r="Q328" s="84" t="n">
        <x:f>$C$14+(($H$9-$C$14)/$C$13)*L328</x:f>
        <x:v>-1.912594984743901</x:v>
      </x:c>
      <x:c r="R328" s="84" t="n">
        <x:f>NORM.S.DIST(Q328,FALSE)*NORM.S.DIST(($H$11-$H$7*Q328)/SQRT(1-$H$7^2),TRUE)</x:f>
        <x:v>0.06093133104196696</x:v>
      </x:c>
      <x:c r="S328" s="84" t="n">
        <x:f>N328*R328</x:f>
        <x:v>0.12186266208393393</x:v>
      </x:c>
    </x:row>
    <x:row r="329">
      <x:c r="L329" s="64" t="n">
        <x:f>323</x:f>
        <x:v>323</x:v>
      </x:c>
      <x:c r="M329" s="84" t="n">
        <x:f>$C$14+(($H$8-$C$14)/$C$13)*L329</x:f>
        <x:v>-1.7523775002244726</x:v>
      </x:c>
      <x:c r="N329" s="84" t="n">
        <x:f>IF(OR(L329=0,L329=$C$13),1,IF(MOD(L329,2)=0,2,4))</x:f>
        <x:v>4</x:v>
      </x:c>
      <x:c r="O329" s="84" t="n">
        <x:f>NORM.S.DIST(M329,FALSE)*NORM.S.DIST(($H$10-$H$7*M329)/SQRT(1-$H$7^2),TRUE)</x:f>
        <x:v>0.08313184741049308</x:v>
      </x:c>
      <x:c r="P329" s="84" t="n">
        <x:f>N329*O329</x:f>
        <x:v>0.3325273896419723</x:v>
      </x:c>
      <x:c r="Q329" s="84" t="n">
        <x:f>$C$14+(($H$9-$C$14)/$C$13)*L329</x:f>
        <x:v>-1.8936900002244723</x:v>
      </x:c>
      <x:c r="R329" s="84" t="n">
        <x:f>NORM.S.DIST(Q329,FALSE)*NORM.S.DIST(($H$11-$H$7*Q329)/SQRT(1-$H$7^2),TRUE)</x:f>
        <x:v>0.06303443784319678</x:v>
      </x:c>
      <x:c r="S329" s="84" t="n">
        <x:f>N329*R329</x:f>
        <x:v>0.2521377513727871</x:v>
      </x:c>
    </x:row>
    <x:row r="330">
      <x:c r="L330" s="64" t="n">
        <x:f>324</x:f>
        <x:v>324</x:v>
      </x:c>
      <x:c r="M330" s="84" t="n">
        <x:f>$C$14+(($H$8-$C$14)/$C$13)*L330</x:f>
        <x:v>-1.7330350157050436</x:v>
      </x:c>
      <x:c r="N330" s="84" t="n">
        <x:f>IF(OR(L330=0,L330=$C$13),1,IF(MOD(L330,2)=0,2,4))</x:f>
        <x:v>2</x:v>
      </x:c>
      <x:c r="O330" s="84" t="n">
        <x:f>NORM.S.DIST(M330,FALSE)*NORM.S.DIST(($H$10-$H$7*M330)/SQRT(1-$H$7^2),TRUE)</x:f>
        <x:v>0.08585483458210261</x:v>
      </x:c>
      <x:c r="P330" s="84" t="n">
        <x:f>N330*O330</x:f>
        <x:v>0.17170966916420521</x:v>
      </x:c>
      <x:c r="Q330" s="84" t="n">
        <x:f>$C$14+(($H$9-$C$14)/$C$13)*L330</x:f>
        <x:v>-1.8747850157050436</x:v>
      </x:c>
      <x:c r="R330" s="84" t="n">
        <x:f>NORM.S.DIST(Q330,FALSE)*NORM.S.DIST(($H$11-$H$7*Q330)/SQRT(1-$H$7^2),TRUE)</x:f>
        <x:v>0.06518235620700216</x:v>
      </x:c>
      <x:c r="S330" s="84" t="n">
        <x:f>N330*R330</x:f>
        <x:v>0.13036471241400432</x:v>
      </x:c>
    </x:row>
    <x:row r="331">
      <x:c r="L331" s="64" t="n">
        <x:f>325</x:f>
        <x:v>325</x:v>
      </x:c>
      <x:c r="M331" s="84" t="n">
        <x:f>$C$14+(($H$8-$C$14)/$C$13)*L331</x:f>
        <x:v>-1.7136925311856146</x:v>
      </x:c>
      <x:c r="N331" s="84" t="n">
        <x:f>IF(OR(L331=0,L331=$C$13),1,IF(MOD(L331,2)=0,2,4))</x:f>
        <x:v>4</x:v>
      </x:c>
      <x:c r="O331" s="84" t="n">
        <x:f>NORM.S.DIST(M331,FALSE)*NORM.S.DIST(($H$10-$H$7*M331)/SQRT(1-$H$7^2),TRUE)</x:f>
        <x:v>0.08862892975678952</x:v>
      </x:c>
      <x:c r="P331" s="84" t="n">
        <x:f>N331*O331</x:f>
        <x:v>0.35451571902715806</x:v>
      </x:c>
      <x:c r="Q331" s="84" t="n">
        <x:f>$C$14+(($H$9-$C$14)/$C$13)*L331</x:f>
        <x:v>-1.855880031185615</x:v>
      </x:c>
      <x:c r="R331" s="84" t="n">
        <x:f>NORM.S.DIST(Q331,FALSE)*NORM.S.DIST(($H$11-$H$7*Q331)/SQRT(1-$H$7^2),TRUE)</x:f>
        <x:v>0.0673746388461009</x:v>
      </x:c>
      <x:c r="S331" s="84" t="n">
        <x:f>N331*R331</x:f>
        <x:v>0.2694985553844036</x:v>
      </x:c>
    </x:row>
    <x:row r="332">
      <x:c r="L332" s="64" t="n">
        <x:f>326</x:f>
        <x:v>326</x:v>
      </x:c>
      <x:c r="M332" s="84" t="n">
        <x:f>$C$14+(($H$8-$C$14)/$C$13)*L332</x:f>
        <x:v>-1.6943500466661856</x:v>
      </x:c>
      <x:c r="N332" s="84" t="n">
        <x:f>IF(OR(L332=0,L332=$C$13),1,IF(MOD(L332,2)=0,2,4))</x:f>
        <x:v>2</x:v>
      </x:c>
      <x:c r="O332" s="84" t="n">
        <x:f>NORM.S.DIST(M332,FALSE)*NORM.S.DIST(($H$10-$H$7*M332)/SQRT(1-$H$7^2),TRUE)</x:f>
        <x:v>0.09145321866788161</x:v>
      </x:c>
      <x:c r="P332" s="84" t="n">
        <x:f>N332*O332</x:f>
        <x:v>0.18290643733576323</x:v>
      </x:c>
      <x:c r="Q332" s="84" t="n">
        <x:f>$C$14+(($H$9-$C$14)/$C$13)*L332</x:f>
        <x:v>-1.8369750466661854</x:v>
      </x:c>
      <x:c r="R332" s="84" t="n">
        <x:f>NORM.S.DIST(Q332,FALSE)*NORM.S.DIST(($H$11-$H$7*Q332)/SQRT(1-$H$7^2),TRUE)</x:f>
        <x:v>0.06961075306473492</x:v>
      </x:c>
      <x:c r="S332" s="84" t="n">
        <x:f>N332*R332</x:f>
        <x:v>0.13922150612946985</x:v>
      </x:c>
    </x:row>
    <x:row r="333">
      <x:c r="L333" s="64" t="n">
        <x:f>327</x:f>
        <x:v>327</x:v>
      </x:c>
      <x:c r="M333" s="84" t="n">
        <x:f>$C$14+(($H$8-$C$14)/$C$13)*L333</x:f>
        <x:v>-1.6750075621467566</x:v>
      </x:c>
      <x:c r="N333" s="84" t="n">
        <x:f>IF(OR(L333=0,L333=$C$13),1,IF(MOD(L333,2)=0,2,4))</x:f>
        <x:v>4</x:v>
      </x:c>
      <x:c r="O333" s="84" t="n">
        <x:f>NORM.S.DIST(M333,FALSE)*NORM.S.DIST(($H$10-$H$7*M333)/SQRT(1-$H$7^2),TRUE)</x:f>
        <x:v>0.09432667603514434</x:v>
      </x:c>
      <x:c r="P333" s="84" t="n">
        <x:f>N333*O333</x:f>
        <x:v>0.3773067041405774</x:v>
      </x:c>
      <x:c r="Q333" s="84" t="n">
        <x:f>$C$14+(($H$9-$C$14)/$C$13)*L333</x:f>
        <x:v>-1.8180700621467567</x:v>
      </x:c>
      <x:c r="R333" s="84" t="n">
        <x:f>NORM.S.DIST(Q333,FALSE)*NORM.S.DIST(($H$11-$H$7*Q333)/SQRT(1-$H$7^2),TRUE)</x:f>
        <x:v>0.07189007822701741</x:v>
      </x:c>
      <x:c r="S333" s="84" t="n">
        <x:f>N333*R333</x:f>
        <x:v>0.28756031290806966</x:v>
      </x:c>
    </x:row>
    <x:row r="334">
      <x:c r="L334" s="64" t="n">
        <x:f>328</x:f>
        <x:v>328</x:v>
      </x:c>
      <x:c r="M334" s="84" t="n">
        <x:f>$C$14+(($H$8-$C$14)/$C$13)*L334</x:f>
        <x:v>-1.6556650776273276</x:v>
      </x:c>
      <x:c r="N334" s="84" t="n">
        <x:f>IF(OR(L334=0,L334=$C$13),1,IF(MOD(L334,2)=0,2,4))</x:f>
        <x:v>2</x:v>
      </x:c>
      <x:c r="O334" s="84" t="n">
        <x:f>NORM.S.DIST(M334,FALSE)*NORM.S.DIST(($H$10-$H$7*M334)/SQRT(1-$H$7^2),TRUE)</x:f>
        <x:v>0.09724816309546923</x:v>
      </x:c>
      <x:c r="P334" s="84" t="n">
        <x:f>N334*O334</x:f>
        <x:v>0.19449632619093846</x:v>
      </x:c>
      <x:c r="Q334" s="84" t="n">
        <x:f>$C$14+(($H$9-$C$14)/$C$13)*L334</x:f>
        <x:v>-1.799165077627328</x:v>
      </x:c>
      <x:c r="R334" s="84" t="n">
        <x:f>NORM.S.DIST(Q334,FALSE)*NORM.S.DIST(($H$11-$H$7*Q334)/SQRT(1-$H$7^2),TRUE)</x:f>
        <x:v>0.07421190334079183</x:v>
      </x:c>
      <x:c r="S334" s="84" t="n">
        <x:f>N334*R334</x:f>
        <x:v>0.14842380668158367</x:v>
      </x:c>
    </x:row>
    <x:row r="335">
      <x:c r="L335" s="64" t="n">
        <x:f>329</x:f>
        <x:v>329</x:v>
      </x:c>
      <x:c r="M335" s="84" t="n">
        <x:f>$C$14+(($H$8-$C$14)/$C$13)*L335</x:f>
        <x:v>-1.6363225931078986</x:v>
      </x:c>
      <x:c r="N335" s="84" t="n">
        <x:f>IF(OR(L335=0,L335=$C$13),1,IF(MOD(L335,2)=0,2,4))</x:f>
        <x:v>4</x:v>
      </x:c>
      <x:c r="O335" s="84" t="n">
        <x:f>NORM.S.DIST(M335,FALSE)*NORM.S.DIST(($H$10-$H$7*M335)/SQRT(1-$H$7^2),TRUE)</x:f>
        <x:v>0.10021642531739602</x:v>
      </x:c>
      <x:c r="P335" s="84" t="n">
        <x:f>N335*O335</x:f>
        <x:v>0.4008657012695841</x:v>
      </x:c>
      <x:c r="Q335" s="84" t="n">
        <x:f>$C$14+(($H$9-$C$14)/$C$13)*L335</x:f>
        <x:v>-1.7802600931078993</x:v>
      </x:c>
      <x:c r="R335" s="84" t="n">
        <x:f>NORM.S.DIST(Q335,FALSE)*NORM.S.DIST(($H$11-$H$7*Q335)/SQRT(1-$H$7^2),TRUE)</x:f>
        <x:v>0.07657542477018012</x:v>
      </x:c>
      <x:c r="S335" s="84" t="n">
        <x:f>N335*R335</x:f>
        <x:v>0.30630169908072047</x:v>
      </x:c>
    </x:row>
    <x:row r="336">
      <x:c r="L336" s="64" t="n">
        <x:f>330</x:f>
        <x:v>330</x:v>
      </x:c>
      <x:c r="M336" s="84" t="n">
        <x:f>$C$14+(($H$8-$C$14)/$C$13)*L336</x:f>
        <x:v>-1.6169801085884705</x:v>
      </x:c>
      <x:c r="N336" s="84" t="n">
        <x:f>IF(OR(L336=0,L336=$C$13),1,IF(MOD(L336,2)=0,2,4))</x:f>
        <x:v>2</x:v>
      </x:c>
      <x:c r="O336" s="84" t="n">
        <x:f>NORM.S.DIST(M336,FALSE)*NORM.S.DIST(($H$10-$H$7*M336)/SQRT(1-$H$7^2),TRUE)</x:f>
        <x:v>0.10323009031525587</x:v>
      </x:c>
      <x:c r="P336" s="84" t="n">
        <x:f>N336*O336</x:f>
        <x:v>0.20646018063051175</x:v>
      </x:c>
      <x:c r="Q336" s="84" t="n">
        <x:f>$C$14+(($H$9-$C$14)/$C$13)*L336</x:f>
        <x:v>-1.7613551085884707</x:v>
      </x:c>
      <x:c r="R336" s="84" t="n">
        <x:f>NORM.S.DIST(Q336,FALSE)*NORM.S.DIST(($H$11-$H$7*Q336)/SQRT(1-$H$7^2),TRUE)</x:f>
        <x:v>0.07897974409017543</x:v>
      </x:c>
      <x:c r="S336" s="84" t="n">
        <x:f>N336*R336</x:f>
        <x:v>0.15795948818035085</x:v>
      </x:c>
    </x:row>
    <x:row r="337">
      <x:c r="L337" s="64" t="n">
        <x:f>331</x:f>
        <x:v>331</x:v>
      </x:c>
      <x:c r="M337" s="84" t="n">
        <x:f>$C$14+(($H$8-$C$14)/$C$13)*L337</x:f>
        <x:v>-1.5976376240690415</x:v>
      </x:c>
      <x:c r="N337" s="84" t="n">
        <x:f>IF(OR(L337=0,L337=$C$13),1,IF(MOD(L337,2)=0,2,4))</x:f>
        <x:v>4</x:v>
      </x:c>
      <x:c r="O337" s="84" t="n">
        <x:f>NORM.S.DIST(M337,FALSE)*NORM.S.DIST(($H$10-$H$7*M337)/SQRT(1-$H$7^2),TRUE)</x:f>
        <x:v>0.10628766597876921</x:v>
      </x:c>
      <x:c r="P337" s="84" t="n">
        <x:f>N337*O337</x:f>
        <x:v>0.42515066391507683</x:v>
      </x:c>
      <x:c r="Q337" s="84" t="n">
        <x:f>$C$14+(($H$9-$C$14)/$C$13)*L337</x:f>
        <x:v>-1.742450124069041</x:v>
      </x:c>
      <x:c r="R337" s="84" t="n">
        <x:f>NORM.S.DIST(Q337,FALSE)*NORM.S.DIST(($H$11-$H$7*Q337)/SQRT(1-$H$7^2),TRUE)</x:f>
        <x:v>0.08142386609675174</x:v>
      </x:c>
      <x:c r="S337" s="84" t="n">
        <x:f>N337*R337</x:f>
        <x:v>0.32569546438700697</x:v>
      </x:c>
    </x:row>
    <x:row r="338">
      <x:c r="L338" s="64" t="n">
        <x:f>332</x:f>
        <x:v>332</x:v>
      </x:c>
      <x:c r="M338" s="84" t="n">
        <x:f>$C$14+(($H$8-$C$14)/$C$13)*L338</x:f>
        <x:v>-1.5782951395496125</x:v>
      </x:c>
      <x:c r="N338" s="84" t="n">
        <x:f>IF(OR(L338=0,L338=$C$13),1,IF(MOD(L338,2)=0,2,4))</x:f>
        <x:v>2</x:v>
      </x:c>
      <x:c r="O338" s="84" t="n">
        <x:f>NORM.S.DIST(M338,FALSE)*NORM.S.DIST(($H$10-$H$7*M338)/SQRT(1-$H$7^2),TRUE)</x:f>
        <x:v>0.10938753883390322</x:v>
      </x:c>
      <x:c r="P338" s="84" t="n">
        <x:f>N338*O338</x:f>
        <x:v>0.21877507766780643</x:v>
      </x:c>
      <x:c r="Q338" s="84" t="n">
        <x:f>$C$14+(($H$9-$C$14)/$C$13)*L338</x:f>
        <x:v>-1.7235451395496124</x:v>
      </x:c>
      <x:c r="R338" s="84" t="n">
        <x:f>NORM.S.DIST(Q338,FALSE)*NORM.S.DIST(($H$11-$H$7*Q338)/SQRT(1-$H$7^2),TRUE)</x:f>
        <x:v>0.08390669698603213</x:v>
      </x:c>
      <x:c r="S338" s="84" t="n">
        <x:f>N338*R338</x:f>
        <x:v>0.16781339397206427</x:v>
      </x:c>
    </x:row>
    <x:row r="339">
      <x:c r="L339" s="64" t="n">
        <x:f>333</x:f>
        <x:v>333</x:v>
      </x:c>
      <x:c r="M339" s="84" t="n">
        <x:f>$C$14+(($H$8-$C$14)/$C$13)*L339</x:f>
        <x:v>-1.5589526550301835</x:v>
      </x:c>
      <x:c r="N339" s="84" t="n">
        <x:f>IF(OR(L339=0,L339=$C$13),1,IF(MOD(L339,2)=0,2,4))</x:f>
        <x:v>4</x:v>
      </x:c>
      <x:c r="O339" s="84" t="n">
        <x:f>NORM.S.DIST(M339,FALSE)*NORM.S.DIST(($H$10-$H$7*M339)/SQRT(1-$H$7^2),TRUE)</x:f>
        <x:v>0.112527972650703</x:v>
      </x:c>
      <x:c r="P339" s="84" t="n">
        <x:f>N339*O339</x:f>
        <x:v>0.450111890602812</x:v>
      </x:c>
      <x:c r="Q339" s="84" t="n">
        <x:f>$C$14+(($H$9-$C$14)/$C$13)*L339</x:f>
        <x:v>-1.7046401550301837</x:v>
      </x:c>
      <x:c r="R339" s="84" t="n">
        <x:f>NORM.S.DIST(Q339,FALSE)*NORM.S.DIST(($H$11-$H$7*Q339)/SQRT(1-$H$7^2),TRUE)</x:f>
        <x:v>0.0864270427160684</x:v>
      </x:c>
      <x:c r="S339" s="84" t="n">
        <x:f>N339*R339</x:f>
        <x:v>0.3457081708642736</x:v>
      </x:c>
    </x:row>
    <x:row r="340">
      <x:c r="L340" s="64" t="n">
        <x:f>334</x:f>
        <x:v>334</x:v>
      </x:c>
      <x:c r="M340" s="84" t="n">
        <x:f>$C$14+(($H$8-$C$14)/$C$13)*L340</x:f>
        <x:v>-1.5396101705107545</x:v>
      </x:c>
      <x:c r="N340" s="84" t="n">
        <x:f>IF(OR(L340=0,L340=$C$13),1,IF(MOD(L340,2)=0,2,4))</x:f>
        <x:v>2</x:v>
      </x:c>
      <x:c r="O340" s="84" t="n">
        <x:f>NORM.S.DIST(M340,FALSE)*NORM.S.DIST(($H$10-$H$7*M340)/SQRT(1-$H$7^2),TRUE)</x:f>
        <x:v>0.11570710731363812</x:v>
      </x:c>
      <x:c r="P340" s="84" t="n">
        <x:f>N340*O340</x:f>
        <x:v>0.23141421462727624</x:v>
      </x:c>
      <x:c r="Q340" s="84" t="n">
        <x:f>$C$14+(($H$9-$C$14)/$C$13)*L340</x:f>
        <x:v>-1.685735170510755</x:v>
      </x:c>
      <x:c r="R340" s="84" t="n">
        <x:f>NORM.S.DIST(Q340,FALSE)*NORM.S.DIST(($H$11-$H$7*Q340)/SQRT(1-$H$7^2),TRUE)</x:f>
        <x:v>0.08898360756473246</x:v>
      </x:c>
      <x:c r="S340" s="84" t="n">
        <x:f>N340*R340</x:f>
        <x:v>0.17796721512946492</x:v>
      </x:c>
    </x:row>
    <x:row r="341">
      <x:c r="L341" s="64" t="n">
        <x:f>335</x:f>
        <x:v>335</x:v>
      </x:c>
      <x:c r="M341" s="84" t="n">
        <x:f>$C$14+(($H$8-$C$14)/$C$13)*L341</x:f>
        <x:v>-1.5202676859913256</x:v>
      </x:c>
      <x:c r="N341" s="84" t="n">
        <x:f>IF(OR(L341=0,L341=$C$13),1,IF(MOD(L341,2)=0,2,4))</x:f>
        <x:v>4</x:v>
      </x:c>
      <x:c r="O341" s="84" t="n">
        <x:f>NORM.S.DIST(M341,FALSE)*NORM.S.DIST(($H$10-$H$7*M341)/SQRT(1-$H$7^2),TRUE)</x:f>
        <x:v>0.1189229579697554</x:v>
      </x:c>
      <x:c r="P341" s="84" t="n">
        <x:f>N341*O341</x:f>
        <x:v>0.4756918318790216</x:v>
      </x:c>
      <x:c r="Q341" s="84" t="n">
        <x:f>$C$14+(($H$9-$C$14)/$C$13)*L341</x:f>
        <x:v>-1.6668301859913255</x:v>
      </x:c>
      <x:c r="R341" s="84" t="n">
        <x:f>NORM.S.DIST(Q341,FALSE)*NORM.S.DIST(($H$11-$H$7*Q341)/SQRT(1-$H$7^2),TRUE)</x:f>
        <x:v>0.09157499289711067</x:v>
      </x:c>
      <x:c r="S341" s="84" t="n">
        <x:f>N341*R341</x:f>
        <x:v>0.3662999715884427</x:v>
      </x:c>
    </x:row>
    <x:row r="342">
      <x:c r="L342" s="64" t="n">
        <x:f>336</x:f>
        <x:v>336</x:v>
      </x:c>
      <x:c r="M342" s="84" t="n">
        <x:f>$C$14+(($H$8-$C$14)/$C$13)*L342</x:f>
        <x:v>-1.5009252014718966</x:v>
      </x:c>
      <x:c r="N342" s="84" t="n">
        <x:f>IF(OR(L342=0,L342=$C$13),1,IF(MOD(L342,2)=0,2,4))</x:f>
        <x:v>2</x:v>
      </x:c>
      <x:c r="O342" s="84" t="n">
        <x:f>NORM.S.DIST(M342,FALSE)*NORM.S.DIST(($H$10-$H$7*M342)/SQRT(1-$H$7^2),TRUE)</x:f>
        <x:v>0.1221734144696045</x:v>
      </x:c>
      <x:c r="P342" s="84" t="n">
        <x:f>N342*O342</x:f>
        <x:v>0.244346828939209</x:v>
      </x:c>
      <x:c r="Q342" s="84" t="n">
        <x:f>$C$14+(($H$9-$C$14)/$C$13)*L342</x:f>
        <x:v>-1.6479252014718968</x:v>
      </x:c>
      <x:c r="R342" s="84" t="n">
        <x:f>NORM.S.DIST(Q342,FALSE)*NORM.S.DIST(($H$11-$H$7*Q342)/SQRT(1-$H$7^2),TRUE)</x:f>
        <x:v>0.09419969615560868</x:v>
      </x:c>
      <x:c r="S342" s="84" t="n">
        <x:f>N342*R342</x:f>
        <x:v>0.18839939231121736</x:v>
      </x:c>
    </x:row>
    <x:row r="343">
      <x:c r="L343" s="64" t="n">
        <x:f>337</x:f>
        <x:v>337</x:v>
      </x:c>
      <x:c r="M343" s="84" t="n">
        <x:f>$C$14+(($H$8-$C$14)/$C$13)*L343</x:f>
        <x:v>-1.4815827169524676</x:v>
      </x:c>
      <x:c r="N343" s="84" t="n">
        <x:f>IF(OR(L343=0,L343=$C$13),1,IF(MOD(L343,2)=0,2,4))</x:f>
        <x:v>4</x:v>
      </x:c>
      <x:c r="O343" s="84" t="n">
        <x:f>NORM.S.DIST(M343,FALSE)*NORM.S.DIST(($H$10-$H$7*M343)/SQRT(1-$H$7^2),TRUE)</x:f>
        <x:v>0.12545624111548404</x:v>
      </x:c>
      <x:c r="P343" s="84" t="n">
        <x:f>N343*O343</x:f>
        <x:v>0.5018249644619361</x:v>
      </x:c>
      <x:c r="Q343" s="84" t="n">
        <x:f>$C$14+(($H$9-$C$14)/$C$13)*L343</x:f>
        <x:v>-1.6290202169524681</x:v>
      </x:c>
      <x:c r="R343" s="84" t="n">
        <x:f>NORM.S.DIST(Q343,FALSE)*NORM.S.DIST(($H$11-$H$7*Q343)/SQRT(1-$H$7^2),TRUE)</x:f>
        <x:v>0.0968561100857329</x:v>
      </x:c>
      <x:c r="S343" s="84" t="n">
        <x:f>N343*R343</x:f>
        <x:v>0.3874244403429316</x:v>
      </x:c>
    </x:row>
    <x:row r="344">
      <x:c r="L344" s="64" t="n">
        <x:f>338</x:f>
        <x:v>338</x:v>
      </x:c>
      <x:c r="M344" s="84" t="n">
        <x:f>$C$14+(($H$8-$C$14)/$C$13)*L344</x:f>
        <x:v>-1.4622402324330395</x:v>
      </x:c>
      <x:c r="N344" s="84" t="n">
        <x:f>IF(OR(L344=0,L344=$C$13),1,IF(MOD(L344,2)=0,2,4))</x:f>
        <x:v>2</x:v>
      </x:c>
      <x:c r="O344" s="84" t="n">
        <x:f>NORM.S.DIST(M344,FALSE)*NORM.S.DIST(($H$10-$H$7*M344)/SQRT(1-$H$7^2),TRUE)</x:f>
        <x:v>0.12876907673105908</x:v>
      </x:c>
      <x:c r="P344" s="84" t="n">
        <x:f>N344*O344</x:f>
        <x:v>0.25753815346211817</x:v>
      </x:c>
      <x:c r="Q344" s="84" t="n">
        <x:f>$C$14+(($H$9-$C$14)/$C$13)*L344</x:f>
        <x:v>-1.6101152324330394</x:v>
      </x:c>
      <x:c r="R344" s="84" t="n">
        <x:f>NORM.S.DIST(Q344,FALSE)*NORM.S.DIST(($H$11-$H$7*Q344)/SQRT(1-$H$7^2),TRUE)</x:f>
        <x:v>0.09954252221018996</x:v>
      </x:c>
      <x:c r="S344" s="84" t="n">
        <x:f>N344*R344</x:f>
        <x:v>0.19908504442037991</x:v>
      </x:c>
    </x:row>
    <x:row r="345">
      <x:c r="L345" s="64" t="n">
        <x:f>339</x:f>
        <x:v>339</x:v>
      </x:c>
      <x:c r="M345" s="84" t="n">
        <x:f>$C$14+(($H$8-$C$14)/$C$13)*L345</x:f>
        <x:v>-1.4428977479136105</x:v>
      </x:c>
      <x:c r="N345" s="84" t="n">
        <x:f>IF(OR(L345=0,L345=$C$13),1,IF(MOD(L345,2)=0,2,4))</x:f>
        <x:v>4</x:v>
      </x:c>
      <x:c r="O345" s="84" t="n">
        <x:f>NORM.S.DIST(M345,FALSE)*NORM.S.DIST(($H$10-$H$7*M345)/SQRT(1-$H$7^2),TRUE)</x:f>
        <x:v>0.1321094350658124</x:v>
      </x:c>
      <x:c r="P345" s="84" t="n">
        <x:f>N345*O345</x:f>
        <x:v>0.5284377402632496</x:v>
      </x:c>
      <x:c r="Q345" s="84" t="n">
        <x:f>$C$14+(($H$9-$C$14)/$C$13)*L345</x:f>
        <x:v>-1.5912102479136108</x:v>
      </x:c>
      <x:c r="R345" s="84" t="n">
        <x:f>NORM.S.DIST(Q345,FALSE)*NORM.S.DIST(($H$11-$H$7*Q345)/SQRT(1-$H$7^2),TRUE)</x:f>
        <x:v>0.10225711456355925</x:v>
      </x:c>
      <x:c r="S345" s="84" t="n">
        <x:f>N345*R345</x:f>
        <x:v>0.409028458254237</x:v>
      </x:c>
    </x:row>
    <x:row r="346">
      <x:c r="L346" s="64" t="n">
        <x:f>340</x:f>
        <x:v>340</x:v>
      </x:c>
      <x:c r="M346" s="84" t="n">
        <x:f>$C$14+(($H$8-$C$14)/$C$13)*L346</x:f>
        <x:v>-1.4235552633941815</x:v>
      </x:c>
      <x:c r="N346" s="84" t="n">
        <x:f>IF(OR(L346=0,L346=$C$13),1,IF(MOD(L346,2)=0,2,4))</x:f>
        <x:v>2</x:v>
      </x:c>
      <x:c r="O346" s="84" t="n">
        <x:f>NORM.S.DIST(M346,FALSE)*NORM.S.DIST(($H$10-$H$7*M346)/SQRT(1-$H$7^2),TRUE)</x:f>
        <x:v>0.13547470554711127</x:v>
      </x:c>
      <x:c r="P346" s="84" t="n">
        <x:f>N346*O346</x:f>
        <x:v>0.27094941109422255</x:v>
      </x:c>
      <x:c r="Q346" s="84" t="n">
        <x:f>$C$14+(($H$9-$C$14)/$C$13)*L346</x:f>
        <x:v>-1.5723052633941812</x:v>
      </x:c>
      <x:c r="R346" s="84" t="n">
        <x:f>NORM.S.DIST(Q346,FALSE)*NORM.S.DIST(($H$11-$H$7*Q346)/SQRT(1-$H$7^2),TRUE)</x:f>
        <x:v>0.10499796369932765</x:v>
      </x:c>
      <x:c r="S346" s="84" t="n">
        <x:f>N346*R346</x:f>
        <x:v>0.2099959273986553</x:v>
      </x:c>
    </x:row>
    <x:row r="347">
      <x:c r="L347" s="64" t="n">
        <x:f>341</x:f>
        <x:v>341</x:v>
      </x:c>
      <x:c r="M347" s="84" t="n">
        <x:f>$C$14+(($H$8-$C$14)/$C$13)*L347</x:f>
        <x:v>-1.4042127788747525</x:v>
      </x:c>
      <x:c r="N347" s="84" t="n">
        <x:f>IF(OR(L347=0,L347=$C$13),1,IF(MOD(L347,2)=0,2,4))</x:f>
        <x:v>4</x:v>
      </x:c>
      <x:c r="O347" s="84" t="n">
        <x:f>NORM.S.DIST(M347,FALSE)*NORM.S.DIST(($H$10-$H$7*M347)/SQRT(1-$H$7^2),TRUE)</x:f>
        <x:v>0.13886215439190722</x:v>
      </x:c>
      <x:c r="P347" s="84" t="n">
        <x:f>N347*O347</x:f>
        <x:v>0.5554486175676289</x:v>
      </x:c>
      <x:c r="Q347" s="84" t="n">
        <x:f>$C$14+(($H$9-$C$14)/$C$13)*L347</x:f>
        <x:v>-1.5534002788747525</x:v>
      </x:c>
      <x:c r="R347" s="84" t="n">
        <x:f>NORM.S.DIST(Q347,FALSE)*NORM.S.DIST(($H$11-$H$7*Q347)/SQRT(1-$H$7^2),TRUE)</x:f>
        <x:v>0.10776304098053206</x:v>
      </x:c>
      <x:c r="S347" s="84" t="n">
        <x:f>N347*R347</x:f>
        <x:v>0.43105216392212825</x:v>
      </x:c>
    </x:row>
    <x:row r="348">
      <x:c r="L348" s="64" t="n">
        <x:f>342</x:f>
        <x:v>342</x:v>
      </x:c>
      <x:c r="M348" s="84" t="n">
        <x:f>$C$14+(($H$8-$C$14)/$C$13)*L348</x:f>
        <x:v>-1.3848702943553235</x:v>
      </x:c>
      <x:c r="N348" s="84" t="n">
        <x:f>IF(OR(L348=0,L348=$C$13),1,IF(MOD(L348,2)=0,2,4))</x:f>
        <x:v>2</x:v>
      </x:c>
      <x:c r="O348" s="84" t="n">
        <x:f>NORM.S.DIST(M348,FALSE)*NORM.S.DIST(($H$10-$H$7*M348)/SQRT(1-$H$7^2),TRUE)</x:f>
        <x:v>0.1422689260892197</x:v>
      </x:c>
      <x:c r="P348" s="84" t="n">
        <x:f>N348*O348</x:f>
        <x:v>0.2845378521784394</x:v>
      </x:c>
      <x:c r="Q348" s="84" t="n">
        <x:f>$C$14+(($H$9-$C$14)/$C$13)*L348</x:f>
        <x:v>-1.5344952943553238</x:v>
      </x:c>
      <x:c r="R348" s="84" t="n">
        <x:f>NORM.S.DIST(Q348,FALSE)*NORM.S.DIST(($H$11-$H$7*Q348)/SQRT(1-$H$7^2),TRUE)</x:f>
        <x:v>0.11055021316464382</x:v>
      </x:c>
      <x:c r="S348" s="84" t="n">
        <x:f>N348*R348</x:f>
        <x:v>0.22110042632928764</x:v>
      </x:c>
    </x:row>
    <x:row r="349">
      <x:c r="L349" s="64" t="n">
        <x:f>343</x:f>
        <x:v>343</x:v>
      </x:c>
      <x:c r="M349" s="84" t="n">
        <x:f>$C$14+(($H$8-$C$14)/$C$13)*L349</x:f>
        <x:v>-1.3655278098358945</x:v>
      </x:c>
      <x:c r="N349" s="84" t="n">
        <x:f>IF(OR(L349=0,L349=$C$13),1,IF(MOD(L349,2)=0,2,4))</x:f>
        <x:v>4</x:v>
      </x:c>
      <x:c r="O349" s="84" t="n">
        <x:f>NORM.S.DIST(M349,FALSE)*NORM.S.DIST(($H$10-$H$7*M349)/SQRT(1-$H$7^2),TRUE)</x:f>
        <x:v>0.14569204526360666</x:v>
      </x:c>
      <x:c r="P349" s="84" t="n">
        <x:f>N349*O349</x:f>
        <x:v>0.5827681810544266</x:v>
      </x:c>
      <x:c r="Q349" s="84" t="n">
        <x:f>$C$14+(($H$9-$C$14)/$C$13)*L349</x:f>
        <x:v>-1.5155903098358952</x:v>
      </x:c>
      <x:c r="R349" s="84" t="n">
        <x:f>NORM.S.DIST(Q349,FALSE)*NORM.S.DIST(($H$11-$H$7*Q349)/SQRT(1-$H$7^2),TRUE)</x:f>
        <x:v>0.11335724329262736</x:v>
      </x:c>
      <x:c r="S349" s="84" t="n">
        <x:f>N349*R349</x:f>
        <x:v>0.45342897317050945</x:v>
      </x:c>
    </x:row>
    <x:row r="350">
      <x:c r="L350" s="64" t="n">
        <x:f>344</x:f>
        <x:v>344</x:v>
      </x:c>
      <x:c r="M350" s="84" t="n">
        <x:f>$C$14+(($H$8-$C$14)/$C$13)*L350</x:f>
        <x:v>-1.3461853253164655</x:v>
      </x:c>
      <x:c r="N350" s="84" t="n">
        <x:f>IF(OR(L350=0,L350=$C$13),1,IF(MOD(L350,2)=0,2,4))</x:f>
        <x:v>2</x:v>
      </x:c>
      <x:c r="O350" s="84" t="n">
        <x:f>NORM.S.DIST(M350,FALSE)*NORM.S.DIST(($H$10-$H$7*M350)/SQRT(1-$H$7^2),TRUE)</x:f>
        <x:v>0.14912841892877712</x:v>
      </x:c>
      <x:c r="P350" s="84" t="n">
        <x:f>N350*O350</x:f>
        <x:v>0.29825683785755425</x:v>
      </x:c>
      <x:c r="Q350" s="84" t="n">
        <x:f>$C$14+(($H$9-$C$14)/$C$13)*L350</x:f>
        <x:v>-1.4966853253164656</x:v>
      </x:c>
      <x:c r="R350" s="84" t="n">
        <x:f>NORM.S.DIST(Q350,FALSE)*NORM.S.DIST(($H$11-$H$7*Q350)/SQRT(1-$H$7^2),TRUE)</x:f>
        <x:v>0.11618179189134202</x:v>
      </x:c>
      <x:c r="S350" s="84" t="n">
        <x:f>N350*R350</x:f>
        <x:v>0.23236358378268404</x:v>
      </x:c>
    </x:row>
    <x:row r="351">
      <x:c r="L351" s="64" t="n">
        <x:f>345</x:f>
        <x:v>345</x:v>
      </x:c>
      <x:c r="M351" s="84" t="n">
        <x:f>$C$14+(($H$8-$C$14)/$C$13)*L351</x:f>
        <x:v>-1.3268428407970365</x:v>
      </x:c>
      <x:c r="N351" s="84" t="n">
        <x:f>IF(OR(L351=0,L351=$C$13),1,IF(MOD(L351,2)=0,2,4))</x:f>
        <x:v>4</x:v>
      </x:c>
      <x:c r="O351" s="84" t="n">
        <x:f>NORM.S.DIST(M351,FALSE)*NORM.S.DIST(($H$10-$H$7*M351)/SQRT(1-$H$7^2),TRUE)</x:f>
        <x:v>0.1525748391393697</x:v>
      </x:c>
      <x:c r="P351" s="84" t="n">
        <x:f>N351*O351</x:f>
        <x:v>0.6102993565574788</x:v>
      </x:c>
      <x:c r="Q351" s="84" t="n">
        <x:f>$C$14+(($H$9-$C$14)/$C$13)*L351</x:f>
        <x:v>-1.477780340797037</x:v>
      </x:c>
      <x:c r="R351" s="84" t="n">
        <x:f>NORM.S.DIST(Q351,FALSE)*NORM.S.DIST(($H$11-$H$7*Q351)/SQRT(1-$H$7^2),TRUE)</x:f>
        <x:v>0.11902141849760221</x:v>
      </x:c>
      <x:c r="S351" s="84" t="n">
        <x:f>N351*R351</x:f>
        <x:v>0.47608567399040885</x:v>
      </x:c>
    </x:row>
    <x:row r="352">
      <x:c r="L352" s="64" t="n">
        <x:f>346</x:f>
        <x:v>346</x:v>
      </x:c>
      <x:c r="M352" s="84" t="n">
        <x:f>$C$14+(($H$8-$C$14)/$C$13)*L352</x:f>
        <x:v>-1.3075003562776084</x:v>
      </x:c>
      <x:c r="N352" s="84" t="n">
        <x:f>IF(OR(L352=0,L352=$C$13),1,IF(MOD(L352,2)=0,2,4))</x:f>
        <x:v>2</x:v>
      </x:c>
      <x:c r="O352" s="84" t="n">
        <x:f>NORM.S.DIST(M352,FALSE)*NORM.S.DIST(($H$10-$H$7*M352)/SQRT(1-$H$7^2),TRUE)</x:f>
        <x:v>0.15602798604769408</x:v>
      </x:c>
      <x:c r="P352" s="84" t="n">
        <x:f>N352*O352</x:f>
        <x:v>0.31205597209538816</x:v>
      </x:c>
      <x:c r="Q352" s="84" t="n">
        <x:f>$C$14+(($H$9-$C$14)/$C$13)*L352</x:f>
        <x:v>-1.4588753562776082</x:v>
      </x:c>
      <x:c r="R352" s="84" t="n">
        <x:f>NORM.S.DIST(Q352,FALSE)*NORM.S.DIST(($H$11-$H$7*Q352)/SQRT(1-$H$7^2),TRUE)</x:f>
        <x:v>0.12187358351129365</x:v>
      </x:c>
      <x:c r="S352" s="84" t="n">
        <x:f>N352*R352</x:f>
        <x:v>0.2437471670225873</x:v>
      </x:c>
    </x:row>
    <x:row r="353">
      <x:c r="L353" s="64" t="n">
        <x:f>347</x:f>
        <x:v>347</x:v>
      </x:c>
      <x:c r="M353" s="84" t="n">
        <x:f>$C$14+(($H$8-$C$14)/$C$13)*L353</x:f>
        <x:v>-1.2881578717581794</x:v>
      </x:c>
      <x:c r="N353" s="84" t="n">
        <x:f>IF(OR(L353=0,L353=$C$13),1,IF(MOD(L353,2)=0,2,4))</x:f>
        <x:v>4</x:v>
      </x:c>
      <x:c r="O353" s="84" t="n">
        <x:f>NORM.S.DIST(M353,FALSE)*NORM.S.DIST(($H$10-$H$7*M353)/SQRT(1-$H$7^2),TRUE)</x:f>
        <x:v>0.1594844313709266</x:v>
      </x:c>
      <x:c r="P353" s="84" t="n">
        <x:f>N353*O353</x:f>
        <x:v>0.6379377254837064</x:v>
      </x:c>
      <x:c r="Q353" s="84" t="n">
        <x:f>$C$14+(($H$9-$C$14)/$C$13)*L353</x:f>
        <x:v>-1.4399703717581795</x:v>
      </x:c>
      <x:c r="R353" s="84" t="n">
        <x:f>NORM.S.DIST(Q353,FALSE)*NORM.S.DIST(($H$11-$H$7*Q353)/SQRT(1-$H$7^2),TRUE)</x:f>
        <x:v>0.12473565038393959</x:v>
      </x:c>
      <x:c r="S353" s="84" t="n">
        <x:f>N353*R353</x:f>
        <x:v>0.49894260153575837</x:v>
      </x:c>
    </x:row>
    <x:row r="354">
      <x:c r="L354" s="64" t="n">
        <x:f>348</x:f>
        <x:v>348</x:v>
      </x:c>
      <x:c r="M354" s="84" t="n">
        <x:f>$C$14+(($H$8-$C$14)/$C$13)*L354</x:f>
        <x:v>-1.2688153872387504</x:v>
      </x:c>
      <x:c r="N354" s="84" t="n">
        <x:f>IF(OR(L354=0,L354=$C$13),1,IF(MOD(L354,2)=0,2,4))</x:f>
        <x:v>2</x:v>
      </x:c>
      <x:c r="O354" s="84" t="n">
        <x:f>NORM.S.DIST(M354,FALSE)*NORM.S.DIST(($H$10-$H$7*M354)/SQRT(1-$H$7^2),TRUE)</x:f>
        <x:v>0.16294064227285204</x:v>
      </x:c>
      <x:c r="P354" s="84" t="n">
        <x:f>N354*O354</x:f>
        <x:v>0.3258812845457041</x:v>
      </x:c>
      <x:c r="Q354" s="84" t="n">
        <x:f>$C$14+(($H$9-$C$14)/$C$13)*L354</x:f>
        <x:v>-1.4210653872387509</x:v>
      </x:c>
      <x:c r="R354" s="84" t="n">
        <x:f>NORM.S.DIST(Q354,FALSE)*NORM.S.DIST(($H$11-$H$7*Q354)/SQRT(1-$H$7^2),TRUE)</x:f>
        <x:v>0.12760488814804785</x:v>
      </x:c>
      <x:c r="S354" s="84" t="n">
        <x:f>N354*R354</x:f>
        <x:v>0.2552097762960957</x:v>
      </x:c>
    </x:row>
    <x:row r="355">
      <x:c r="L355" s="64" t="n">
        <x:f>349</x:f>
        <x:v>349</x:v>
      </x:c>
      <x:c r="M355" s="84" t="n">
        <x:f>$C$14+(($H$8-$C$14)/$C$13)*L355</x:f>
        <x:v>-1.2494729027193214</x:v>
      </x:c>
      <x:c r="N355" s="84" t="n">
        <x:f>IF(OR(L355=0,L355=$C$13),1,IF(MOD(L355,2)=0,2,4))</x:f>
        <x:v>4</x:v>
      </x:c>
      <x:c r="O355" s="84" t="n">
        <x:f>NORM.S.DIST(M355,FALSE)*NORM.S.DIST(($H$10-$H$7*M355)/SQRT(1-$H$7^2),TRUE)</x:f>
        <x:v>0.1663929856627754</x:v>
      </x:c>
      <x:c r="P355" s="84" t="n">
        <x:f>N355*O355</x:f>
        <x:v>0.6655719426511016</x:v>
      </x:c>
      <x:c r="Q355" s="84" t="n">
        <x:f>$C$14+(($H$9-$C$14)/$C$13)*L355</x:f>
        <x:v>-1.4021604027193213</x:v>
      </x:c>
      <x:c r="R355" s="84" t="n">
        <x:f>NORM.S.DIST(Q355,FALSE)*NORM.S.DIST(($H$11-$H$7*Q355)/SQRT(1-$H$7^2),TRUE)</x:f>
        <x:v>0.13047847429142537</x:v>
      </x:c>
      <x:c r="S355" s="84" t="n">
        <x:f>N355*R355</x:f>
        <x:v>0.5219138971657015</x:v>
      </x:c>
    </x:row>
    <x:row r="356">
      <x:c r="L356" s="64" t="n">
        <x:f>350</x:f>
        <x:v>350</x:v>
      </x:c>
      <x:c r="M356" s="84" t="n">
        <x:f>$C$14+(($H$8-$C$14)/$C$13)*L356</x:f>
        <x:v>-1.2301304181998924</x:v>
      </x:c>
      <x:c r="N356" s="84" t="n">
        <x:f>IF(OR(L356=0,L356=$C$13),1,IF(MOD(L356,2)=0,2,4))</x:f>
        <x:v>2</x:v>
      </x:c>
      <x:c r="O356" s="84" t="n">
        <x:f>NORM.S.DIST(M356,FALSE)*NORM.S.DIST(($H$10-$H$7*M356)/SQRT(1-$H$7^2),TRUE)</x:f>
        <x:v>0.16983773291267337</x:v>
      </x:c>
      <x:c r="P356" s="84" t="n">
        <x:f>N356*O356</x:f>
        <x:v>0.33967546582534675</x:v>
      </x:c>
      <x:c r="Q356" s="84" t="n">
        <x:f>$C$14+(($H$9-$C$14)/$C$13)*L356</x:f>
        <x:v>-1.3832554181998926</x:v>
      </x:c>
      <x:c r="R356" s="84" t="n">
        <x:f>NORM.S.DIST(Q356,FALSE)*NORM.S.DIST(($H$11-$H$7*Q356)/SQRT(1-$H$7^2),TRUE)</x:f>
        <x:v>0.13335349797944246</x:v>
      </x:c>
      <x:c r="S356" s="84" t="n">
        <x:f>N356*R356</x:f>
        <x:v>0.2667069959588849</x:v>
      </x:c>
    </x:row>
    <x:row r="357">
      <x:c r="L357" s="64" t="n">
        <x:f>351</x:f>
        <x:v>351</x:v>
      </x:c>
      <x:c r="M357" s="84" t="n">
        <x:f>$C$14+(($H$8-$C$14)/$C$13)*L357</x:f>
        <x:v>-1.2107879336804634</x:v>
      </x:c>
      <x:c r="N357" s="84" t="n">
        <x:f>IF(OR(L357=0,L357=$C$13),1,IF(MOD(L357,2)=0,2,4))</x:f>
        <x:v>4</x:v>
      </x:c>
      <x:c r="O357" s="84" t="n">
        <x:f>NORM.S.DIST(M357,FALSE)*NORM.S.DIST(($H$10-$H$7*M357)/SQRT(1-$H$7^2),TRUE)</x:f>
        <x:v>0.17327106499203535</x:v>
      </x:c>
      <x:c r="P357" s="84" t="n">
        <x:f>N357*O357</x:f>
        <x:v>0.6930842599681414</x:v>
      </x:c>
      <x:c r="Q357" s="84" t="n">
        <x:f>$C$14+(($H$9-$C$14)/$C$13)*L357</x:f>
        <x:v>-1.364350433680464</x:v>
      </x:c>
      <x:c r="R357" s="84" t="n">
        <x:f>NORM.S.DIST(Q357,FALSE)*NORM.S.DIST(($H$11-$H$7*Q357)/SQRT(1-$H$7^2),TRUE)</x:f>
        <x:v>0.13622696362696088</x:v>
      </x:c>
      <x:c r="S357" s="84" t="n">
        <x:f>N357*R357</x:f>
        <x:v>0.5449078545078435</x:v>
      </x:c>
    </x:row>
    <x:row r="358">
      <x:c r="L358" s="64" t="n">
        <x:f>352</x:f>
        <x:v>352</x:v>
      </x:c>
      <x:c r="M358" s="84" t="n">
        <x:f>$C$14+(($H$8-$C$14)/$C$13)*L358</x:f>
        <x:v>-1.1914454491610345</x:v>
      </x:c>
      <x:c r="N358" s="84" t="n">
        <x:f>IF(OR(L358=0,L358=$C$13),1,IF(MOD(L358,2)=0,2,4))</x:f>
        <x:v>2</x:v>
      </x:c>
      <x:c r="O358" s="84" t="n">
        <x:f>NORM.S.DIST(M358,FALSE)*NORM.S.DIST(($H$10-$H$7*M358)/SQRT(1-$H$7^2),TRUE)</x:f>
        <x:v>0.1766890780181569</x:v>
      </x:c>
      <x:c r="P358" s="84" t="n">
        <x:f>N358*O358</x:f>
        <x:v>0.3533781560363138</x:v>
      </x:c>
      <x:c r="Q358" s="84" t="n">
        <x:f>$C$14+(($H$9-$C$14)/$C$13)*L358</x:f>
        <x:v>-1.3454454491610353</x:v>
      </x:c>
      <x:c r="R358" s="84" t="n">
        <x:f>NORM.S.DIST(Q358,FALSE)*NORM.S.DIST(($H$11-$H$7*Q358)/SQRT(1-$H$7^2),TRUE)</x:f>
        <x:v>0.13909579482030793</x:v>
      </x:c>
      <x:c r="S358" s="84" t="n">
        <x:f>N358*R358</x:f>
        <x:v>0.27819158964061586</x:v>
      </x:c>
    </x:row>
    <x:row r="359">
      <x:c r="L359" s="64" t="n">
        <x:f>353</x:f>
        <x:v>353</x:v>
      </x:c>
      <x:c r="M359" s="84" t="n">
        <x:f>$C$14+(($H$8-$C$14)/$C$13)*L359</x:f>
        <x:v>-1.1721029646416063</x:v>
      </x:c>
      <x:c r="N359" s="84" t="n">
        <x:f>IF(OR(L359=0,L359=$C$13),1,IF(MOD(L359,2)=0,2,4))</x:f>
        <x:v>4</x:v>
      </x:c>
      <x:c r="O359" s="84" t="n">
        <x:f>NORM.S.DIST(M359,FALSE)*NORM.S.DIST(($H$10-$H$7*M359)/SQRT(1-$H$7^2),TRUE)</x:f>
        <x:v>0.18008778921790286</x:v>
      </x:c>
      <x:c r="P359" s="84" t="n">
        <x:f>N359*O359</x:f>
        <x:v>0.7203511568716114</x:v>
      </x:c>
      <x:c r="Q359" s="84" t="n">
        <x:f>$C$14+(($H$9-$C$14)/$C$13)*L359</x:f>
        <x:v>-1.3265404646416057</x:v>
      </x:c>
      <x:c r="R359" s="84" t="n">
        <x:f>NORM.S.DIST(Q359,FALSE)*NORM.S.DIST(($H$11-$H$7*Q359)/SQRT(1-$H$7^2),TRUE)</x:f>
        <x:v>0.1419568385882969</x:v>
      </x:c>
      <x:c r="S359" s="84" t="n">
        <x:f>N359*R359</x:f>
        <x:v>0.5678273543531877</x:v>
      </x:c>
    </x:row>
    <x:row r="360">
      <x:c r="L360" s="64" t="n">
        <x:f>354</x:f>
        <x:v>354</x:v>
      </x:c>
      <x:c r="M360" s="84" t="n">
        <x:f>$C$14+(($H$8-$C$14)/$C$13)*L360</x:f>
        <x:v>-1.1527604801221774</x:v>
      </x:c>
      <x:c r="N360" s="84" t="n">
        <x:f>IF(OR(L360=0,L360=$C$13),1,IF(MOD(L360,2)=0,2,4))</x:f>
        <x:v>2</x:v>
      </x:c>
      <x:c r="O360" s="84" t="n">
        <x:f>NORM.S.DIST(M360,FALSE)*NORM.S.DIST(($H$10-$H$7*M360)/SQRT(1-$H$7^2),TRUE)</x:f>
        <x:v>0.18346314329515725</x:v>
      </x:c>
      <x:c r="P360" s="84" t="n">
        <x:f>N360*O360</x:f>
        <x:v>0.3669262865903145</x:v>
      </x:c>
      <x:c r="Q360" s="84" t="n">
        <x:f>$C$14+(($H$9-$C$14)/$C$13)*L360</x:f>
        <x:v>-1.307635480122177</x:v>
      </x:c>
      <x:c r="R360" s="84" t="n">
        <x:f>NORM.S.DIST(Q360,FALSE)*NORM.S.DIST(($H$11-$H$7*Q360)/SQRT(1-$H$7^2),TRUE)</x:f>
        <x:v>0.14480687001986284</x:v>
      </x:c>
      <x:c r="S360" s="84" t="n">
        <x:f>N360*R360</x:f>
        <x:v>0.2896137400397257</x:v>
      </x:c>
    </x:row>
    <x:row r="361">
      <x:c r="L361" s="64" t="n">
        <x:f>355</x:f>
        <x:v>355</x:v>
      </x:c>
      <x:c r="M361" s="84" t="n">
        <x:f>$C$14+(($H$8-$C$14)/$C$13)*L361</x:f>
        <x:v>-1.1334179956027484</x:v>
      </x:c>
      <x:c r="N361" s="84" t="n">
        <x:f>IF(OR(L361=0,L361=$C$13),1,IF(MOD(L361,2)=0,2,4))</x:f>
        <x:v>4</x:v>
      </x:c>
      <x:c r="O361" s="84" t="n">
        <x:f>NORM.S.DIST(M361,FALSE)*NORM.S.DIST(($H$10-$H$7*M361)/SQRT(1-$H$7^2),TRUE)</x:f>
        <x:v>0.18681101919633256</x:v>
      </x:c>
      <x:c r="P361" s="84" t="n">
        <x:f>N361*O361</x:f>
        <x:v>0.7472440767853302</x:v>
      </x:c>
      <x:c r="Q361" s="84" t="n">
        <x:f>$C$14+(($H$9-$C$14)/$C$13)*L361</x:f>
        <x:v>-1.2887304956027483</x:v>
      </x:c>
      <x:c r="R361" s="84" t="n">
        <x:f>NORM.S.DIST(Q361,FALSE)*NORM.S.DIST(($H$11-$H$7*Q361)/SQRT(1-$H$7^2),TRUE)</x:f>
        <x:v>0.14764259722440373</x:v>
      </x:c>
      <x:c r="S361" s="84" t="n">
        <x:f>N361*R361</x:f>
        <x:v>0.5905703888976149</x:v>
      </x:c>
    </x:row>
    <x:row r="362">
      <x:c r="L362" s="64" t="n">
        <x:f>356</x:f>
        <x:v>356</x:v>
      </x:c>
      <x:c r="M362" s="84" t="n">
        <x:f>$C$14+(($H$8-$C$14)/$C$13)*L362</x:f>
        <x:v>-1.1140755110833194</x:v>
      </x:c>
      <x:c r="N362" s="84" t="n">
        <x:f>IF(OR(L362=0,L362=$C$13),1,IF(MOD(L362,2)=0,2,4))</x:f>
        <x:v>2</x:v>
      </x:c>
      <x:c r="O362" s="84" t="n">
        <x:f>NORM.S.DIST(M362,FALSE)*NORM.S.DIST(($H$10-$H$7*M362)/SQRT(1-$H$7^2),TRUE)</x:f>
        <x:v>0.19012723726443262</x:v>
      </x:c>
      <x:c r="P362" s="84" t="n">
        <x:f>N362*O362</x:f>
        <x:v>0.38025447452886524</x:v>
      </x:c>
      <x:c r="Q362" s="84" t="n">
        <x:f>$C$14+(($H$9-$C$14)/$C$13)*L362</x:f>
        <x:v>-1.2698255110833196</x:v>
      </x:c>
      <x:c r="R362" s="84" t="n">
        <x:f>NORM.S.DIST(Q362,FALSE)*NORM.S.DIST(($H$11-$H$7*Q362)/SQRT(1-$H$7^2),TRUE)</x:f>
        <x:v>0.15046066662940255</x:v>
      </x:c>
      <x:c r="S362" s="84" t="n">
        <x:f>N362*R362</x:f>
        <x:v>0.3009213332588051</x:v>
      </x:c>
    </x:row>
    <x:row r="363">
      <x:c r="L363" s="64" t="n">
        <x:f>357</x:f>
        <x:v>357</x:v>
      </x:c>
      <x:c r="M363" s="84" t="n">
        <x:f>$C$14+(($H$8-$C$14)/$C$13)*L363</x:f>
        <x:v>-1.0947330265638904</x:v>
      </x:c>
      <x:c r="N363" s="84" t="n">
        <x:f>IF(OR(L363=0,L363=$C$13),1,IF(MOD(L363,2)=0,2,4))</x:f>
        <x:v>4</x:v>
      </x:c>
      <x:c r="O363" s="84" t="n">
        <x:f>NORM.S.DIST(M363,FALSE)*NORM.S.DIST(($H$10-$H$7*M363)/SQRT(1-$H$7^2),TRUE)</x:f>
        <x:v>0.19340756677025084</x:v>
      </x:c>
      <x:c r="P363" s="84" t="n">
        <x:f>N363*O363</x:f>
        <x:v>0.7736302670810034</x:v>
      </x:c>
      <x:c r="Q363" s="84" t="n">
        <x:f>$C$14+(($H$9-$C$14)/$C$13)*L363</x:f>
        <x:v>-1.250920526563891</x:v>
      </x:c>
      <x:c r="R363" s="84" t="n">
        <x:f>NORM.S.DIST(Q363,FALSE)*NORM.S.DIST(($H$11-$H$7*Q363)/SQRT(1-$H$7^2),TRUE)</x:f>
        <x:v>0.15325766860836232</x:v>
      </x:c>
      <x:c r="S363" s="84" t="n">
        <x:f>N363*R363</x:f>
        <x:v>0.6130306744334493</x:v>
      </x:c>
    </x:row>
    <x:row r="364">
      <x:c r="L364" s="64" t="n">
        <x:f>358</x:f>
        <x:v>358</x:v>
      </x:c>
      <x:c r="M364" s="84" t="n">
        <x:f>$C$14+(($H$8-$C$14)/$C$13)*L364</x:f>
        <x:v>-1.0753905420444614</x:v>
      </x:c>
      <x:c r="N364" s="84" t="n">
        <x:f>IF(OR(L364=0,L364=$C$13),1,IF(MOD(L364,2)=0,2,4))</x:f>
        <x:v>2</x:v>
      </x:c>
      <x:c r="O364" s="84" t="n">
        <x:f>NORM.S.DIST(M364,FALSE)*NORM.S.DIST(($H$10-$H$7*M364)/SQRT(1-$H$7^2),TRUE)</x:f>
        <x:v>0.19664773380735814</x:v>
      </x:c>
      <x:c r="P364" s="84" t="n">
        <x:f>N364*O364</x:f>
        <x:v>0.3932954676147163</x:v>
      </x:c>
      <x:c r="Q364" s="84" t="n">
        <x:f>$C$14+(($H$9-$C$14)/$C$13)*L364</x:f>
        <x:v>-1.2320155420444614</x:v>
      </x:c>
      <x:c r="R364" s="84" t="n">
        <x:f>NORM.S.DIST(Q364,FALSE)*NORM.S.DIST(($H$11-$H$7*Q364)/SQRT(1-$H$7^2),TRUE)</x:f>
        <x:v>0.15603014343051494</x:v>
      </x:c>
      <x:c r="S364" s="84" t="n">
        <x:f>N364*R364</x:f>
        <x:v>0.3120602868610299</x:v>
      </x:c>
    </x:row>
    <x:row r="365">
      <x:c r="L365" s="64" t="n">
        <x:f>359</x:f>
        <x:v>359</x:v>
      </x:c>
      <x:c r="M365" s="84" t="n">
        <x:f>$C$14+(($H$8-$C$14)/$C$13)*L365</x:f>
        <x:v>-1.0560480575250324</x:v>
      </x:c>
      <x:c r="N365" s="84" t="n">
        <x:f>IF(OR(L365=0,L365=$C$13),1,IF(MOD(L365,2)=0,2,4))</x:f>
        <x:v>4</x:v>
      </x:c>
      <x:c r="O365" s="84" t="n">
        <x:f>NORM.S.DIST(M365,FALSE)*NORM.S.DIST(($H$10-$H$7*M365)/SQRT(1-$H$7^2),TRUE)</x:f>
        <x:v>0.19984342953559786</x:v>
      </x:c>
      <x:c r="P365" s="84" t="n">
        <x:f>N365*O365</x:f>
        <x:v>0.7993737181423914</x:v>
      </x:c>
      <x:c r="Q365" s="84" t="n">
        <x:f>$C$14+(($H$9-$C$14)/$C$13)*L365</x:f>
        <x:v>-1.2131105575250327</x:v>
      </x:c>
      <x:c r="R365" s="84" t="n">
        <x:f>NORM.S.DIST(Q365,FALSE)*NORM.S.DIST(($H$11-$H$7*Q365)/SQRT(1-$H$7^2),TRUE)</x:f>
        <x:v>0.15877458752217943</x:v>
      </x:c>
      <x:c r="S365" s="84" t="n">
        <x:f>N365*R365</x:f>
        <x:v>0.6350983500887177</x:v>
      </x:c>
    </x:row>
    <x:row r="366">
      <x:c r="L366" s="64" t="n">
        <x:f>360</x:f>
        <x:v>360</x:v>
      </x:c>
      <x:c r="M366" s="84" t="n">
        <x:f>$C$14+(($H$8-$C$14)/$C$13)*L366</x:f>
        <x:v>-1.0367055730056034</x:v>
      </x:c>
      <x:c r="N366" s="84" t="n">
        <x:f>IF(OR(L366=0,L366=$C$13),1,IF(MOD(L366,2)=0,2,4))</x:f>
        <x:v>2</x:v>
      </x:c>
      <x:c r="O366" s="84" t="n">
        <x:f>NORM.S.DIST(M366,FALSE)*NORM.S.DIST(($H$10-$H$7*M366)/SQRT(1-$H$7^2),TRUE)</x:f>
        <x:v>0.2029903187558664</x:v>
      </x:c>
      <x:c r="P366" s="84" t="n">
        <x:f>N366*O366</x:f>
        <x:v>0.4059806375117328</x:v>
      </x:c>
      <x:c r="Q366" s="84" t="n">
        <x:f>$C$14+(($H$9-$C$14)/$C$13)*L366</x:f>
        <x:v>-1.194205573005604</x:v>
      </x:c>
      <x:c r="R366" s="84" t="n">
        <x:f>NORM.S.DIST(Q366,FALSE)*NORM.S.DIST(($H$11-$H$7*Q366)/SQRT(1-$H$7^2),TRUE)</x:f>
        <x:v>0.1614874600280527</x:v>
      </x:c>
      <x:c r="S366" s="84" t="n">
        <x:f>N366*R366</x:f>
        <x:v>0.3229749200561054</x:v>
      </x:c>
    </x:row>
    <x:row r="367">
      <x:c r="L367" s="64" t="n">
        <x:f>361</x:f>
        <x:v>361</x:v>
      </x:c>
      <x:c r="M367" s="84" t="n">
        <x:f>$C$14+(($H$8-$C$14)/$C$13)*L367</x:f>
        <x:v>-1.0173630884861753</x:v>
      </x:c>
      <x:c r="N367" s="84" t="n">
        <x:f>IF(OR(L367=0,L367=$C$13),1,IF(MOD(L367,2)=0,2,4))</x:f>
        <x:v>4</x:v>
      </x:c>
      <x:c r="O367" s="84" t="n">
        <x:f>NORM.S.DIST(M367,FALSE)*NORM.S.DIST(($H$10-$H$7*M367)/SQRT(1-$H$7^2),TRUE)</x:f>
        <x:v>0.20608404879703435</x:v>
      </x:c>
      <x:c r="P367" s="84" t="n">
        <x:f>N367*O367</x:f>
        <x:v>0.8243361951881374</x:v>
      </x:c>
      <x:c r="Q367" s="84" t="n">
        <x:f>$C$14+(($H$9-$C$14)/$C$13)*L367</x:f>
        <x:v>-1.1753005884861754</x:v>
      </x:c>
      <x:c r="R367" s="84" t="n">
        <x:f>NORM.S.DIST(Q367,FALSE)*NORM.S.DIST(($H$11-$H$7*Q367)/SQRT(1-$H$7^2),TRUE)</x:f>
        <x:v>0.16416518965911747</x:v>
      </x:c>
      <x:c r="S367" s="84" t="n">
        <x:f>N367*R367</x:f>
        <x:v>0.6566607586364699</x:v>
      </x:c>
    </x:row>
    <x:row r="368">
      <x:c r="L368" s="64" t="n">
        <x:f>362</x:f>
        <x:v>362</x:v>
      </x:c>
      <x:c r="M368" s="84" t="n">
        <x:f>$C$14+(($H$8-$C$14)/$C$13)*L368</x:f>
        <x:v>-0.9980206039667463</x:v>
      </x:c>
      <x:c r="N368" s="84" t="n">
        <x:f>IF(OR(L368=0,L368=$C$13),1,IF(MOD(L368,2)=0,2,4))</x:f>
        <x:v>2</x:v>
      </x:c>
      <x:c r="O368" s="84" t="n">
        <x:f>NORM.S.DIST(M368,FALSE)*NORM.S.DIST(($H$10-$H$7*M368)/SQRT(1-$H$7^2),TRUE)</x:f>
        <x:v>0.20912025869396084</x:v>
      </x:c>
      <x:c r="P368" s="84" t="n">
        <x:f>N368*O368</x:f>
        <x:v>0.4182405173879217</x:v>
      </x:c>
      <x:c r="Q368" s="84" t="n">
        <x:f>$C$14+(($H$9-$C$14)/$C$13)*L368</x:f>
        <x:v>-1.1563956039667458</x:v>
      </x:c>
      <x:c r="R368" s="84" t="n">
        <x:f>NORM.S.DIST(Q368,FALSE)*NORM.S.DIST(($H$11-$H$7*Q368)/SQRT(1-$H$7^2),TRUE)</x:f>
        <x:v>0.1668041818122708</x:v>
      </x:c>
      <x:c r="S368" s="84" t="n">
        <x:f>N368*R368</x:f>
        <x:v>0.3336083636245416</x:v>
      </x:c>
    </x:row>
    <x:row r="369">
      <x:c r="L369" s="64" t="n">
        <x:f>363</x:f>
        <x:v>363</x:v>
      </x:c>
      <x:c r="M369" s="84" t="n">
        <x:f>$C$14+(($H$8-$C$14)/$C$13)*L369</x:f>
        <x:v>-0.9786781194473173</x:v>
      </x:c>
      <x:c r="N369" s="84" t="n">
        <x:f>IF(OR(L369=0,L369=$C$13),1,IF(MOD(L369,2)=0,2,4))</x:f>
        <x:v>4</x:v>
      </x:c>
      <x:c r="O369" s="84" t="n">
        <x:f>NORM.S.DIST(M369,FALSE)*NORM.S.DIST(($H$10-$H$7*M369)/SQRT(1-$H$7^2),TRUE)</x:f>
        <x:v>0.21209458863368066</x:v>
      </x:c>
      <x:c r="P369" s="84" t="n">
        <x:f>N369*O369</x:f>
        <x:v>0.8483783545347227</x:v>
      </x:c>
      <x:c r="Q369" s="84" t="n">
        <x:f>$C$14+(($H$9-$C$14)/$C$13)*L369</x:f>
        <x:v>-1.137490619447317</x:v>
      </x:c>
      <x:c r="R369" s="84" t="n">
        <x:f>NORM.S.DIST(Q369,FALSE)*NORM.S.DIST(($H$11-$H$7*Q369)/SQRT(1-$H$7^2),TRUE)</x:f>
        <x:v>0.1694008259452045</x:v>
      </x:c>
      <x:c r="S369" s="84" t="n">
        <x:f>N369*R369</x:f>
        <x:v>0.677603303780818</x:v>
      </x:c>
    </x:row>
    <x:row r="370">
      <x:c r="L370" s="64" t="n">
        <x:f>364</x:f>
        <x:v>364</x:v>
      </x:c>
      <x:c r="M370" s="84" t="n">
        <x:f>$C$14+(($H$8-$C$14)/$C$13)*L370</x:f>
        <x:v>-0.9593356349278883</x:v>
      </x:c>
      <x:c r="N370" s="84" t="n">
        <x:f>IF(OR(L370=0,L370=$C$13),1,IF(MOD(L370,2)=0,2,4))</x:f>
        <x:v>2</x:v>
      </x:c>
      <x:c r="O370" s="84" t="n">
        <x:f>NORM.S.DIST(M370,FALSE)*NORM.S.DIST(($H$10-$H$7*M370)/SQRT(1-$H$7^2),TRUE)</x:f>
        <x:v>0.21500268964502706</x:v>
      </x:c>
      <x:c r="P370" s="84" t="n">
        <x:f>N370*O370</x:f>
        <x:v>0.4300053792900541</x:v>
      </x:c>
      <x:c r="Q370" s="84" t="n">
        <x:f>$C$14+(($H$9-$C$14)/$C$13)*L370</x:f>
        <x:v>-1.1185856349278884</x:v>
      </x:c>
      <x:c r="R370" s="84" t="n">
        <x:f>NORM.S.DIST(Q370,FALSE)*NORM.S.DIST(($H$11-$H$7*Q370)/SQRT(1-$H$7^2),TRUE)</x:f>
        <x:v>0.17195150318853006</x:v>
      </x:c>
      <x:c r="S370" s="84" t="n">
        <x:f>N370*R370</x:f>
        <x:v>0.3439030063770601</x:v>
      </x:c>
    </x:row>
    <x:row r="371">
      <x:c r="L371" s="64" t="n">
        <x:f>365</x:f>
        <x:v>365</x:v>
      </x:c>
      <x:c r="M371" s="84" t="n">
        <x:f>$C$14+(($H$8-$C$14)/$C$13)*L371</x:f>
        <x:v>-0.9399931504084593</x:v>
      </x:c>
      <x:c r="N371" s="84" t="n">
        <x:f>IF(OR(L371=0,L371=$C$13),1,IF(MOD(L371,2)=0,2,4))</x:f>
        <x:v>4</x:v>
      </x:c>
      <x:c r="O371" s="84" t="n">
        <x:f>NORM.S.DIST(M371,FALSE)*NORM.S.DIST(($H$10-$H$7*M371)/SQRT(1-$H$7^2),TRUE)</x:f>
        <x:v>0.21784023350518128</x:v>
      </x:c>
      <x:c r="P371" s="84" t="n">
        <x:f>N371*O371</x:f>
        <x:v>0.8713609340207251</x:v>
      </x:c>
      <x:c r="Q371" s="84" t="n">
        <x:f>$C$14+(($H$9-$C$14)/$C$13)*L371</x:f>
        <x:v>-1.0996806504084597</x:v>
      </x:c>
      <x:c r="R371" s="84" t="n">
        <x:f>NORM.S.DIST(Q371,FALSE)*NORM.S.DIST(($H$11-$H$7*Q371)/SQRT(1-$H$7^2),TRUE)</x:f>
        <x:v>0.17445259417563</x:v>
      </x:c>
      <x:c r="S371" s="84" t="n">
        <x:f>N371*R371</x:f>
        <x:v>0.69781037670252</x:v>
      </x:c>
    </x:row>
    <x:row r="372">
      <x:c r="L372" s="64" t="n">
        <x:f>366</x:f>
        <x:v>366</x:v>
      </x:c>
      <x:c r="M372" s="84" t="n">
        <x:f>$C$14+(($H$8-$C$14)/$C$13)*L372</x:f>
        <x:v>-0.9206506658890303</x:v>
      </x:c>
      <x:c r="N372" s="84" t="n">
        <x:f>IF(OR(L372=0,L372=$C$13),1,IF(MOD(L372,2)=0,2,4))</x:f>
        <x:v>2</x:v>
      </x:c>
      <x:c r="O372" s="84" t="n">
        <x:f>NORM.S.DIST(M372,FALSE)*NORM.S.DIST(($H$10-$H$7*M372)/SQRT(1-$H$7^2),TRUE)</x:f>
        <x:v>0.22060292283494506</x:v>
      </x:c>
      <x:c r="P372" s="84" t="n">
        <x:f>N372*O372</x:f>
        <x:v>0.44120584566989013</x:v>
      </x:c>
      <x:c r="Q372" s="84" t="n">
        <x:f>$C$14+(($H$9-$C$14)/$C$13)*L372</x:f>
        <x:v>-1.080775665889031</x:v>
      </x:c>
      <x:c r="R372" s="84" t="n">
        <x:f>NORM.S.DIST(Q372,FALSE)*NORM.S.DIST(($H$11-$H$7*Q372)/SQRT(1-$H$7^2),TRUE)</x:f>
        <x:v>0.17690048706926007</x:v>
      </x:c>
      <x:c r="S372" s="84" t="n">
        <x:f>N372*R372</x:f>
        <x:v>0.35380097413852013</x:v>
      </x:c>
    </x:row>
    <x:row r="373">
      <x:c r="L373" s="64" t="n">
        <x:f>367</x:f>
        <x:v>367</x:v>
      </x:c>
      <x:c r="M373" s="84" t="n">
        <x:f>$C$14+(($H$8-$C$14)/$C$13)*L373</x:f>
        <x:v>-0.9013081813696013</x:v>
      </x:c>
      <x:c r="N373" s="84" t="n">
        <x:f>IF(OR(L373=0,L373=$C$13),1,IF(MOD(L373,2)=0,2,4))</x:f>
        <x:v>4</x:v>
      </x:c>
      <x:c r="O373" s="84" t="n">
        <x:f>NORM.S.DIST(M373,FALSE)*NORM.S.DIST(($H$10-$H$7*M373)/SQRT(1-$H$7^2),TRUE)</x:f>
        <x:v>0.2232865013529147</x:v>
      </x:c>
      <x:c r="P373" s="84" t="n">
        <x:f>N373*O373</x:f>
        <x:v>0.8931460054116588</x:v>
      </x:c>
      <x:c r="Q373" s="84" t="n">
        <x:f>$C$14+(($H$9-$C$14)/$C$13)*L373</x:f>
        <x:v>-1.0618706813696015</x:v>
      </x:c>
      <x:c r="R373" s="84" t="n">
        <x:f>NORM.S.DIST(Q373,FALSE)*NORM.S.DIST(($H$11-$H$7*Q373)/SQRT(1-$H$7^2),TRUE)</x:f>
        <x:v>0.17929158576251839</x:v>
      </x:c>
      <x:c r="S373" s="84" t="n">
        <x:f>N373*R373</x:f>
        <x:v>0.7171663430500735</x:v>
      </x:c>
    </x:row>
    <x:row r="374">
      <x:c r="L374" s="64" t="n">
        <x:f>368</x:f>
        <x:v>368</x:v>
      </x:c>
      <x:c r="M374" s="84" t="n">
        <x:f>$C$14+(($H$8-$C$14)/$C$13)*L374</x:f>
        <x:v>-0.8819656968501723</x:v>
      </x:c>
      <x:c r="N374" s="84" t="n">
        <x:f>IF(OR(L374=0,L374=$C$13),1,IF(MOD(L374,2)=0,2,4))</x:f>
        <x:v>2</x:v>
      </x:c>
      <x:c r="O374" s="84" t="n">
        <x:f>NORM.S.DIST(M374,FALSE)*NORM.S.DIST(($H$10-$H$7*M374)/SQRT(1-$H$7^2),TRUE)</x:f>
        <x:v>0.22588676425721374</x:v>
      </x:c>
      <x:c r="P374" s="84" t="n">
        <x:f>N374*O374</x:f>
        <x:v>0.4517735285144275</x:v>
      </x:c>
      <x:c r="Q374" s="84" t="n">
        <x:f>$C$14+(($H$9-$C$14)/$C$13)*L374</x:f>
        <x:v>-1.0429656968501728</x:v>
      </x:c>
      <x:c r="R374" s="84" t="n">
        <x:f>NORM.S.DIST(Q374,FALSE)*NORM.S.DIST(($H$11-$H$7*Q374)/SQRT(1-$H$7^2),TRUE)</x:f>
        <x:v>0.1816223182304536</x:v>
      </x:c>
      <x:c r="S374" s="84" t="n">
        <x:f>N374*R374</x:f>
        <x:v>0.3632446364609072</x:v>
      </x:c>
    </x:row>
    <x:row r="375">
      <x:c r="L375" s="64" t="n">
        <x:f>369</x:f>
        <x:v>369</x:v>
      </x:c>
      <x:c r="M375" s="84" t="n">
        <x:f>$C$14+(($H$8-$C$14)/$C$13)*L375</x:f>
        <x:v>-0.8626232123307442</x:v>
      </x:c>
      <x:c r="N375" s="84" t="n">
        <x:f>IF(OR(L375=0,L375=$C$13),1,IF(MOD(L375,2)=0,2,4))</x:f>
        <x:v>4</x:v>
      </x:c>
      <x:c r="O375" s="84" t="n">
        <x:f>NORM.S.DIST(M375,FALSE)*NORM.S.DIST(($H$10-$H$7*M375)/SQRT(1-$H$7^2),TRUE)</x:f>
        <x:v>0.228399568702016</x:v>
      </x:c>
      <x:c r="P375" s="84" t="n">
        <x:f>N375*O375</x:f>
        <x:v>0.913598274808064</x:v>
      </x:c>
      <x:c r="Q375" s="84" t="n">
        <x:f>$C$14+(($H$9-$C$14)/$C$13)*L375</x:f>
        <x:v>-1.0240607123307441</x:v>
      </x:c>
      <x:c r="R375" s="84" t="n">
        <x:f>NORM.S.DIST(Q375,FALSE)*NORM.S.DIST(($H$11-$H$7*Q375)/SQRT(1-$H$7^2),TRUE)</x:f>
        <x:v>0.18388914500731782</x:v>
      </x:c>
      <x:c r="S375" s="84" t="n">
        <x:f>N375*R375</x:f>
        <x:v>0.7355565800292713</x:v>
      </x:c>
    </x:row>
    <x:row r="376">
      <x:c r="L376" s="64" t="n">
        <x:f>370</x:f>
        <x:v>370</x:v>
      </x:c>
      <x:c r="M376" s="84" t="n">
        <x:f>$C$14+(($H$8-$C$14)/$C$13)*L376</x:f>
        <x:v>-0.8432807278113152</x:v>
      </x:c>
      <x:c r="N376" s="84" t="n">
        <x:f>IF(OR(L376=0,L376=$C$13),1,IF(MOD(L376,2)=0,2,4))</x:f>
        <x:v>2</x:v>
      </x:c>
      <x:c r="O376" s="84" t="n">
        <x:f>NORM.S.DIST(M376,FALSE)*NORM.S.DIST(($H$10-$H$7*M376)/SQRT(1-$H$7^2),TRUE)</x:f>
        <x:v>0.23082084433479275</x:v>
      </x:c>
      <x:c r="P376" s="84" t="n">
        <x:f>N376*O376</x:f>
        <x:v>0.4616416886695855</x:v>
      </x:c>
      <x:c r="Q376" s="84" t="n">
        <x:f>$C$14+(($H$9-$C$14)/$C$13)*L376</x:f>
        <x:v>-1.0051557278113155</x:v>
      </x:c>
      <x:c r="R376" s="84" t="n">
        <x:f>NORM.S.DIST(Q376,FALSE)*NORM.S.DIST(($H$11-$H$7*Q376)/SQRT(1-$H$7^2),TRUE)</x:f>
        <x:v>0.18608856776327792</x:v>
      </x:c>
      <x:c r="S376" s="84" t="n">
        <x:f>N376*R376</x:f>
        <x:v>0.37217713552655585</x:v>
      </x:c>
    </x:row>
    <x:row r="377">
      <x:c r="L377" s="64" t="n">
        <x:f>371</x:f>
        <x:v>371</x:v>
      </x:c>
      <x:c r="M377" s="84" t="n">
        <x:f>$C$14+(($H$8-$C$14)/$C$13)*L377</x:f>
        <x:v>-0.8239382432918863</x:v>
      </x:c>
      <x:c r="N377" s="84" t="n">
        <x:f>IF(OR(L377=0,L377=$C$13),1,IF(MOD(L377,2)=0,2,4))</x:f>
        <x:v>4</x:v>
      </x:c>
      <x:c r="O377" s="84" t="n">
        <x:f>NORM.S.DIST(M377,FALSE)*NORM.S.DIST(($H$10-$H$7*M377)/SQRT(1-$H$7^2),TRUE)</x:f>
        <x:v>0.23314660385903163</x:v>
      </x:c>
      <x:c r="P377" s="84" t="n">
        <x:f>N377*O377</x:f>
        <x:v>0.9325864154361265</x:v>
      </x:c>
      <x:c r="Q377" s="84" t="n">
        <x:f>$C$14+(($H$9-$C$14)/$C$13)*L377</x:f>
        <x:v>-0.9862507432918859</x:v>
      </x:c>
      <x:c r="R377" s="84" t="n">
        <x:f>NORM.S.DIST(Q377,FALSE)*NORM.S.DIST(($H$11-$H$7*Q377)/SQRT(1-$H$7^2),TRUE)</x:f>
        <x:v>0.18821713795330816</x:v>
      </x:c>
      <x:c r="S377" s="84" t="n">
        <x:f>N377*R377</x:f>
        <x:v>0.7528685518132326</x:v>
      </x:c>
    </x:row>
    <x:row r="378">
      <x:c r="L378" s="64" t="n">
        <x:f>372</x:f>
        <x:v>372</x:v>
      </x:c>
      <x:c r="M378" s="84" t="n">
        <x:f>$C$14+(($H$8-$C$14)/$C$13)*L378</x:f>
        <x:v>-0.8045957587724573</x:v>
      </x:c>
      <x:c r="N378" s="84" t="n">
        <x:f>IF(OR(L378=0,L378=$C$13),1,IF(MOD(L378,2)=0,2,4))</x:f>
        <x:v>2</x:v>
      </x:c>
      <x:c r="O378" s="84" t="n">
        <x:f>NORM.S.DIST(M378,FALSE)*NORM.S.DIST(($H$10-$H$7*M378)/SQRT(1-$H$7^2),TRUE)</x:f>
        <x:v>0.23537295358613983</x:v>
      </x:c>
      <x:c r="P378" s="84" t="n">
        <x:f>N378*O378</x:f>
        <x:v>0.47074590717227965</x:v>
      </x:c>
      <x:c r="Q378" s="84" t="n">
        <x:f>$C$14+(($H$9-$C$14)/$C$13)*L378</x:f>
        <x:v>-0.9673457587724572</x:v>
      </x:c>
      <x:c r="R378" s="84" t="n">
        <x:f>NORM.S.DIST(Q378,FALSE)*NORM.S.DIST(($H$11-$H$7*Q378)/SQRT(1-$H$7^2),TRUE)</x:f>
        <x:v>0.19027146550998592</x:v>
      </x:c>
      <x:c r="S378" s="84" t="n">
        <x:f>N378*R378</x:f>
        <x:v>0.38054293101997183</x:v>
      </x:c>
    </x:row>
    <x:row r="379">
      <x:c r="L379" s="64" t="n">
        <x:f>373</x:f>
        <x:v>373</x:v>
      </x:c>
      <x:c r="M379" s="84" t="n">
        <x:f>$C$14+(($H$8-$C$14)/$C$13)*L379</x:f>
        <x:v>-0.7852532742530283</x:v>
      </x:c>
      <x:c r="N379" s="84" t="n">
        <x:f>IF(OR(L379=0,L379=$C$13),1,IF(MOD(L379,2)=0,2,4))</x:f>
        <x:v>4</x:v>
      </x:c>
      <x:c r="O379" s="84" t="n">
        <x:f>NORM.S.DIST(M379,FALSE)*NORM.S.DIST(($H$10-$H$7*M379)/SQRT(1-$H$7^2),TRUE)</x:f>
        <x:v>0.23749610393934392</x:v>
      </x:c>
      <x:c r="P379" s="84" t="n">
        <x:f>N379*O379</x:f>
        <x:v>0.9499844157573757</x:v>
      </x:c>
      <x:c r="Q379" s="84" t="n">
        <x:f>$C$14+(($H$9-$C$14)/$C$13)*L379</x:f>
        <x:v>-0.9484407742530285</x:v>
      </x:c>
      <x:c r="R379" s="84" t="n">
        <x:f>NORM.S.DIST(Q379,FALSE)*NORM.S.DIST(($H$11-$H$7*Q379)/SQRT(1-$H$7^2),TRUE)</x:f>
        <x:v>0.19224822755103096</x:v>
      </x:c>
      <x:c r="S379" s="84" t="n">
        <x:f>N379*R379</x:f>
        <x:v>0.7689929102041239</x:v>
      </x:c>
    </x:row>
    <x:row r="380">
      <x:c r="L380" s="64" t="n">
        <x:f>374</x:f>
        <x:v>374</x:v>
      </x:c>
      <x:c r="M380" s="84" t="n">
        <x:f>$C$14+(($H$8-$C$14)/$C$13)*L380</x:f>
        <x:v>-0.7659107897335993</x:v>
      </x:c>
      <x:c r="N380" s="84" t="n">
        <x:f>IF(OR(L380=0,L380=$C$13),1,IF(MOD(L380,2)=0,2,4))</x:f>
        <x:v>2</x:v>
      </x:c>
      <x:c r="O380" s="84" t="n">
        <x:f>NORM.S.DIST(M380,FALSE)*NORM.S.DIST(($H$10-$H$7*M380)/SQRT(1-$H$7^2),TRUE)</x:f>
        <x:v>0.23951237987166296</x:v>
      </x:c>
      <x:c r="P380" s="84" t="n">
        <x:f>N380*O380</x:f>
        <x:v>0.4790247597433259</x:v>
      </x:c>
      <x:c r="Q380" s="84" t="n">
        <x:f>$C$14+(($H$9-$C$14)/$C$13)*L380</x:f>
        <x:v>-0.9295357897335998</x:v>
      </x:c>
      <x:c r="R380" s="84" t="n">
        <x:f>NORM.S.DIST(Q380,FALSE)*NORM.S.DIST(($H$11-$H$7*Q380)/SQRT(1-$H$7^2),TRUE)</x:f>
        <x:v>0.1941441770716504</x:v>
      </x:c>
      <x:c r="S380" s="84" t="n">
        <x:f>N380*R380</x:f>
        <x:v>0.3882883541433008</x:v>
      </x:c>
    </x:row>
    <x:row r="381">
      <x:c r="L381" s="64" t="n">
        <x:f>375</x:f>
        <x:v>375</x:v>
      </x:c>
      <x:c r="M381" s="84" t="n">
        <x:f>$C$14+(($H$8-$C$14)/$C$13)*L381</x:f>
        <x:v>-0.7465683052141703</x:v>
      </x:c>
      <x:c r="N381" s="84" t="n">
        <x:f>IF(OR(L381=0,L381=$C$13),1,IF(MOD(L381,2)=0,2,4))</x:f>
        <x:v>4</x:v>
      </x:c>
      <x:c r="O381" s="84" t="n">
        <x:f>NORM.S.DIST(M381,FALSE)*NORM.S.DIST(($H$10-$H$7*M381)/SQRT(1-$H$7^2),TRUE)</x:f>
        <x:v>0.2414182311594537</x:v>
      </x:c>
      <x:c r="P381" s="84" t="n">
        <x:f>N381*O381</x:f>
        <x:v>0.9656729246378148</x:v>
      </x:c>
      <x:c r="Q381" s="84" t="n">
        <x:f>$C$14+(($H$9-$C$14)/$C$13)*L381</x:f>
        <x:v>-0.9106308052141712</x:v>
      </x:c>
      <x:c r="R381" s="84" t="n">
        <x:f>NORM.S.DIST(Q381,FALSE)*NORM.S.DIST(($H$11-$H$7*Q381)/SQRT(1-$H$7^2),TRUE)</x:f>
        <x:v>0.1959561515911104</x:v>
      </x:c>
      <x:c r="S381" s="84" t="n">
        <x:f>N381*R381</x:f>
        <x:v>0.7838246063644416</x:v>
      </x:c>
    </x:row>
    <x:row r="382">
      <x:c r="L382" s="64" t="n">
        <x:f>376</x:f>
        <x:v>376</x:v>
      </x:c>
      <x:c r="M382" s="84" t="n">
        <x:f>$C$14+(($H$8-$C$14)/$C$13)*L382</x:f>
        <x:v>-0.7272258206947413</x:v>
      </x:c>
      <x:c r="N382" s="84" t="n">
        <x:f>IF(OR(L382=0,L382=$C$13),1,IF(MOD(L382,2)=0,2,4))</x:f>
        <x:v>2</x:v>
      </x:c>
      <x:c r="O382" s="84" t="n">
        <x:f>NORM.S.DIST(M382,FALSE)*NORM.S.DIST(($H$10-$H$7*M382)/SQRT(1-$H$7^2),TRUE)</x:f>
        <x:v>0.24321024253262935</x:v>
      </x:c>
      <x:c r="P382" s="84" t="n">
        <x:f>N382*O382</x:f>
        <x:v>0.4864204850652587</x:v>
      </x:c>
      <x:c r="Q382" s="84" t="n">
        <x:f>$C$14+(($H$9-$C$14)/$C$13)*L382</x:f>
        <x:v>-0.8917258206947416</x:v>
      </x:c>
      <x:c r="R382" s="84" t="n">
        <x:f>NORM.S.DIST(Q382,FALSE)*NORM.S.DIST(($H$11-$H$7*Q382)/SQRT(1-$H$7^2),TRUE)</x:f>
        <x:v>0.1976810817224338</x:v>
      </x:c>
      <x:c r="S382" s="84" t="n">
        <x:f>N382*R382</x:f>
        <x:v>0.3953621634448676</x:v>
      </x:c>
    </x:row>
    <x:row r="383">
      <x:c r="L383" s="64" t="n">
        <x:f>377</x:f>
        <x:v>377</x:v>
      </x:c>
      <x:c r="M383" s="84" t="n">
        <x:f>$C$14+(($H$8-$C$14)/$C$13)*L383</x:f>
        <x:v>-0.7078833361753132</x:v>
      </x:c>
      <x:c r="N383" s="84" t="n">
        <x:f>IF(OR(L383=0,L383=$C$13),1,IF(MOD(L383,2)=0,2,4))</x:f>
        <x:v>4</x:v>
      </x:c>
      <x:c r="O383" s="84" t="n">
        <x:f>NORM.S.DIST(M383,FALSE)*NORM.S.DIST(($H$10-$H$7*M383)/SQRT(1-$H$7^2),TRUE)</x:f>
        <x:v>0.24488514360242736</x:v>
      </x:c>
      <x:c r="P383" s="84" t="n">
        <x:f>N383*O383</x:f>
        <x:v>0.9795405744097094</x:v>
      </x:c>
      <x:c r="Q383" s="84" t="n">
        <x:f>$C$14+(($H$9-$C$14)/$C$13)*L383</x:f>
        <x:v>-0.8728208361753129</x:v>
      </x:c>
      <x:c r="R383" s="84" t="n">
        <x:f>NORM.S.DIST(Q383,FALSE)*NORM.S.DIST(($H$11-$H$7*Q383)/SQRT(1-$H$7^2),TRUE)</x:f>
        <x:v>0.1993159996337454</x:v>
      </x:c>
      <x:c r="S383" s="84" t="n">
        <x:f>N383*R383</x:f>
        <x:v>0.7972639985349816</x:v>
      </x:c>
    </x:row>
    <x:row r="384">
      <x:c r="L384" s="64" t="n">
        <x:f>378</x:f>
        <x:v>378</x:v>
      </x:c>
      <x:c r="M384" s="84" t="n">
        <x:f>$C$14+(($H$8-$C$14)/$C$13)*L384</x:f>
        <x:v>-0.6885408516558842</x:v>
      </x:c>
      <x:c r="N384" s="84" t="n">
        <x:f>IF(OR(L384=0,L384=$C$13),1,IF(MOD(L384,2)=0,2,4))</x:f>
        <x:v>2</x:v>
      </x:c>
      <x:c r="O384" s="84" t="n">
        <x:f>NORM.S.DIST(M384,FALSE)*NORM.S.DIST(($H$10-$H$7*M384)/SQRT(1-$H$7^2),TRUE)</x:f>
        <x:v>0.2464398185475687</x:v>
      </x:c>
      <x:c r="P384" s="84" t="n">
        <x:f>N384*O384</x:f>
        <x:v>0.4928796370951374</x:v>
      </x:c>
      <x:c r="Q384" s="84" t="n">
        <x:f>$C$14+(($H$9-$C$14)/$C$13)*L384</x:f>
        <x:v>-0.8539158516558842</x:v>
      </x:c>
      <x:c r="R384" s="84" t="n">
        <x:f>NORM.S.DIST(Q384,FALSE)*NORM.S.DIST(($H$11-$H$7*Q384)/SQRT(1-$H$7^2),TRUE)</x:f>
        <x:v>0.2008580473695478</x:v>
      </x:c>
      <x:c r="S384" s="84" t="n">
        <x:f>N384*R384</x:f>
        <x:v>0.4017160947390956</x:v>
      </x:c>
    </x:row>
    <x:row r="385">
      <x:c r="L385" s="64" t="n">
        <x:f>379</x:f>
        <x:v>379</x:v>
      </x:c>
      <x:c r="M385" s="84" t="n">
        <x:f>$C$14+(($H$8-$C$14)/$C$13)*L385</x:f>
        <x:v>-0.6691983671364552</x:v>
      </x:c>
      <x:c r="N385" s="84" t="n">
        <x:f>IF(OR(L385=0,L385=$C$13),1,IF(MOD(L385,2)=0,2,4))</x:f>
        <x:v>4</x:v>
      </x:c>
      <x:c r="O385" s="84" t="n">
        <x:f>NORM.S.DIST(M385,FALSE)*NORM.S.DIST(($H$10-$H$7*M385)/SQRT(1-$H$7^2),TRUE)</x:f>
        <x:v>0.2478713155198034</x:v>
      </x:c>
      <x:c r="P385" s="84" t="n">
        <x:f>N385*O385</x:f>
        <x:v>0.9914852620792136</x:v>
      </x:c>
      <x:c r="Q385" s="84" t="n">
        <x:f>$C$14+(($H$9-$C$14)/$C$13)*L385</x:f>
        <x:v>-0.8350108671364556</x:v>
      </x:c>
      <x:c r="R385" s="84" t="n">
        <x:f>NORM.S.DIST(Q385,FALSE)*NORM.S.DIST(($H$11-$H$7*Q385)/SQRT(1-$H$7^2),TRUE)</x:f>
        <x:v>0.20230448500011902</x:v>
      </x:c>
      <x:c r="S385" s="84" t="n">
        <x:f>N385*R385</x:f>
        <x:v>0.8092179400004761</x:v>
      </x:c>
    </x:row>
    <x:row r="386">
      <x:c r="L386" s="64" t="n">
        <x:f>380</x:f>
        <x:v>380</x:v>
      </x:c>
      <x:c r="M386" s="84" t="n">
        <x:f>$C$14+(($H$8-$C$14)/$C$13)*L386</x:f>
        <x:v>-0.6498558826170262</x:v>
      </x:c>
      <x:c r="N386" s="84" t="n">
        <x:f>IF(OR(L386=0,L386=$C$13),1,IF(MOD(L386,2)=0,2,4))</x:f>
        <x:v>2</x:v>
      </x:c>
      <x:c r="O386" s="84" t="n">
        <x:f>NORM.S.DIST(M386,FALSE)*NORM.S.DIST(($H$10-$H$7*M386)/SQRT(1-$H$7^2),TRUE)</x:f>
        <x:v>0.24917685573018886</x:v>
      </x:c>
      <x:c r="P386" s="84" t="n">
        <x:f>N386*O386</x:f>
        <x:v>0.4983537114603777</x:v>
      </x:c>
      <x:c r="Q386" s="84" t="n">
        <x:f>$C$14+(($H$9-$C$14)/$C$13)*L386</x:f>
        <x:v>-0.816105882617026</x:v>
      </x:c>
      <x:c r="R386" s="84" t="n">
        <x:f>NORM.S.DIST(Q386,FALSE)*NORM.S.DIST(($H$11-$H$7*Q386)/SQRT(1-$H$7^2),TRUE)</x:f>
        <x:v>0.2036526985672843</x:v>
      </x:c>
      <x:c r="S386" s="84" t="n">
        <x:f>N386*R386</x:f>
        <x:v>0.4073053971345686</x:v>
      </x:c>
    </x:row>
    <x:row r="387">
      <x:c r="L387" s="64" t="n">
        <x:f>381</x:f>
        <x:v>381</x:v>
      </x:c>
      <x:c r="M387" s="84" t="n">
        <x:f>$C$14+(($H$8-$C$14)/$C$13)*L387</x:f>
        <x:v>-0.6305133980975972</x:v>
      </x:c>
      <x:c r="N387" s="84" t="n">
        <x:f>IF(OR(L387=0,L387=$C$13),1,IF(MOD(L387,2)=0,2,4))</x:f>
        <x:v>4</x:v>
      </x:c>
      <x:c r="O387" s="84" t="n">
        <x:f>NORM.S.DIST(M387,FALSE)*NORM.S.DIST(($H$10-$H$7*M387)/SQRT(1-$H$7^2),TRUE)</x:f>
        <x:v>0.2503538421779938</x:v>
      </x:c>
      <x:c r="P387" s="84" t="n">
        <x:f>N387*O387</x:f>
        <x:v>1.0014153687119751</x:v>
      </x:c>
      <x:c r="Q387" s="84" t="n">
        <x:f>$C$14+(($H$9-$C$14)/$C$13)*L387</x:f>
        <x:v>-0.7972008980975973</x:v>
      </x:c>
      <x:c r="R387" s="84" t="n">
        <x:f>NORM.S.DIST(Q387,FALSE)*NORM.S.DIST(($H$11-$H$7*Q387)/SQRT(1-$H$7^2),TRUE)</x:f>
        <x:v>0.204900207795029</x:v>
      </x:c>
      <x:c r="S387" s="84" t="n">
        <x:f>N387*R387</x:f>
        <x:v>0.819600831180116</x:v>
      </x:c>
    </x:row>
    <x:row r="388">
      <x:c r="L388" s="64" t="n">
        <x:f>382</x:f>
        <x:v>382</x:v>
      </x:c>
      <x:c r="M388" s="84" t="n">
        <x:f>$C$14+(($H$8-$C$14)/$C$13)*L388</x:f>
        <x:v>-0.6111709135781682</x:v>
      </x:c>
      <x:c r="N388" s="84" t="n">
        <x:f>IF(OR(L388=0,L388=$C$13),1,IF(MOD(L388,2)=0,2,4))</x:f>
        <x:v>2</x:v>
      </x:c>
      <x:c r="O388" s="84" t="n">
        <x:f>NORM.S.DIST(M388,FALSE)*NORM.S.DIST(($H$10-$H$7*M388)/SQRT(1-$H$7^2),TRUE)</x:f>
        <x:v>0.2513998679848675</x:v>
      </x:c>
      <x:c r="P388" s="84" t="n">
        <x:f>N388*O388</x:f>
        <x:v>0.502799735969735</x:v>
      </x:c>
      <x:c r="Q388" s="84" t="n">
        <x:f>$C$14+(($H$9-$C$14)/$C$13)*L388</x:f>
        <x:v>-0.7782959135781686</x:v>
      </x:c>
      <x:c r="R388" s="84" t="n">
        <x:f>NORM.S.DIST(Q388,FALSE)*NORM.S.DIST(($H$11-$H$7*Q388)/SQRT(1-$H$7^2),TRUE)</x:f>
        <x:v>0.20604467353379058</x:v>
      </x:c>
      <x:c r="S388" s="84" t="n">
        <x:f>N388*R388</x:f>
        <x:v>0.41208934706758116</x:v>
      </x:c>
    </x:row>
    <x:row r="389">
      <x:c r="L389" s="64" t="n">
        <x:f>383</x:f>
        <x:v>383</x:v>
      </x:c>
      <x:c r="M389" s="84" t="n">
        <x:f>$C$14+(($H$8-$C$14)/$C$13)*L389</x:f>
        <x:v>-0.5918284290587392</x:v>
      </x:c>
      <x:c r="N389" s="84" t="n">
        <x:f>IF(OR(L389=0,L389=$C$13),1,IF(MOD(L389,2)=0,2,4))</x:f>
        <x:v>4</x:v>
      </x:c>
      <x:c r="O389" s="84" t="n">
        <x:f>NORM.S.DIST(M389,FALSE)*NORM.S.DIST(($H$10-$H$7*M389)/SQRT(1-$H$7^2),TRUE)</x:f>
        <x:v>0.2523127242978623</x:v>
      </x:c>
      <x:c r="P389" s="84" t="n">
        <x:f>N389*O389</x:f>
        <x:v>1.0092508971914491</x:v>
      </x:c>
      <x:c r="Q389" s="84" t="n">
        <x:f>$C$14+(($H$9-$C$14)/$C$13)*L389</x:f>
        <x:v>-0.75939092905874</x:v>
      </x:c>
      <x:c r="R389" s="84" t="n">
        <x:f>NORM.S.DIST(Q389,FALSE)*NORM.S.DIST(($H$11-$H$7*Q389)/SQRT(1-$H$7^2),TRUE)</x:f>
        <x:v>0.20708390490779732</x:v>
      </x:c>
      <x:c r="S389" s="84" t="n">
        <x:f>N389*R389</x:f>
        <x:v>0.8283356196311893</x:v>
      </x:c>
    </x:row>
    <x:row r="390">
      <x:c r="L390" s="64" t="n">
        <x:f>384</x:f>
        <x:v>384</x:v>
      </x:c>
      <x:c r="M390" s="84" t="n">
        <x:f>$C$14+(($H$8-$C$14)/$C$13)*L390</x:f>
        <x:v>-0.5724859445393111</x:v>
      </x:c>
      <x:c r="N390" s="84" t="n">
        <x:f>IF(OR(L390=0,L390=$C$13),1,IF(MOD(L390,2)=0,2,4))</x:f>
        <x:v>2</x:v>
      </x:c>
      <x:c r="O390" s="84" t="n">
        <x:f>NORM.S.DIST(M390,FALSE)*NORM.S.DIST(($H$10-$H$7*M390)/SQRT(1-$H$7^2),TRUE)</x:f>
        <x:v>0.25309040772604013</x:v>
      </x:c>
      <x:c r="P390" s="84" t="n">
        <x:f>N390*O390</x:f>
        <x:v>0.5061808154520803</x:v>
      </x:c>
      <x:c r="Q390" s="84" t="n">
        <x:f>$C$14+(($H$9-$C$14)/$C$13)*L390</x:f>
        <x:v>-0.7404859445393104</x:v>
      </x:c>
      <x:c r="R390" s="84" t="n">
        <x:f>NORM.S.DIST(Q390,FALSE)*NORM.S.DIST(($H$11-$H$7*Q390)/SQRT(1-$H$7^2),TRUE)</x:f>
        <x:v>0.20801586613550713</x:v>
      </x:c>
      <x:c r="S390" s="84" t="n">
        <x:f>N390*R390</x:f>
        <x:v>0.41603173227101425</x:v>
      </x:c>
    </x:row>
    <x:row r="391">
      <x:c r="L391" s="64" t="n">
        <x:f>385</x:f>
        <x:v>385</x:v>
      </x:c>
      <x:c r="M391" s="84" t="n">
        <x:f>$C$14+(($H$8-$C$14)/$C$13)*L391</x:f>
        <x:v>-0.5531434600198821</x:v>
      </x:c>
      <x:c r="N391" s="84" t="n">
        <x:f>IF(OR(L391=0,L391=$C$13),1,IF(MOD(L391,2)=0,2,4))</x:f>
        <x:v>4</x:v>
      </x:c>
      <x:c r="O391" s="84" t="n">
        <x:f>NORM.S.DIST(M391,FALSE)*NORM.S.DIST(($H$10-$H$7*M391)/SQRT(1-$H$7^2),TRUE)</x:f>
        <x:v>0.25373112727674213</x:v>
      </x:c>
      <x:c r="P391" s="84" t="n">
        <x:f>N391*O391</x:f>
        <x:v>1.0149245091069685</x:v>
      </x:c>
      <x:c r="Q391" s="84" t="n">
        <x:f>$C$14+(($H$9-$C$14)/$C$13)*L391</x:f>
        <x:v>-0.7215809600198817</x:v>
      </x:c>
      <x:c r="R391" s="84" t="n">
        <x:f>NORM.S.DIST(Q391,FALSE)*NORM.S.DIST(($H$11-$H$7*Q391)/SQRT(1-$H$7^2),TRUE)</x:f>
        <x:v>0.20883868299405003</x:v>
      </x:c>
      <x:c r="S391" s="84" t="n">
        <x:f>N391*R391</x:f>
        <x:v>0.8353547319762001</x:v>
      </x:c>
    </x:row>
    <x:row r="392">
      <x:c r="L392" s="64" t="n">
        <x:f>386</x:f>
        <x:v>386</x:v>
      </x:c>
      <x:c r="M392" s="84" t="n">
        <x:f>$C$14+(($H$8-$C$14)/$C$13)*L392</x:f>
        <x:v>-0.5338009755004531</x:v>
      </x:c>
      <x:c r="N392" s="84" t="n">
        <x:f>IF(OR(L392=0,L392=$C$13),1,IF(MOD(L392,2)=0,2,4))</x:f>
        <x:v>2</x:v>
      </x:c>
      <x:c r="O392" s="84" t="n">
        <x:f>NORM.S.DIST(M392,FALSE)*NORM.S.DIST(($H$10-$H$7*M392)/SQRT(1-$H$7^2),TRUE)</x:f>
        <x:v>0.25423331075913025</x:v>
      </x:c>
      <x:c r="P392" s="84" t="n">
        <x:f>N392*O392</x:f>
        <x:v>0.5084666215182605</x:v>
      </x:c>
      <x:c r="Q392" s="84" t="n">
        <x:f>$C$14+(($H$9-$C$14)/$C$13)*L392</x:f>
        <x:v>-0.702675975500453</x:v>
      </x:c>
      <x:c r="R392" s="84" t="n">
        <x:f>NORM.S.DIST(Q392,FALSE)*NORM.S.DIST(($H$11-$H$7*Q392)/SQRT(1-$H$7^2),TRUE)</x:f>
        <x:v>0.20955064889957523</x:v>
      </x:c>
      <x:c r="S392" s="84" t="n">
        <x:f>N392*R392</x:f>
        <x:v>0.41910129779915045</x:v>
      </x:c>
    </x:row>
    <x:row r="393">
      <x:c r="L393" s="64" t="n">
        <x:f>387</x:f>
        <x:v>387</x:v>
      </x:c>
      <x:c r="M393" s="84" t="n">
        <x:f>$C$14+(($H$8-$C$14)/$C$13)*L393</x:f>
        <x:v>-0.5144584909810241</x:v>
      </x:c>
      <x:c r="N393" s="84" t="n">
        <x:f>IF(OR(L393=0,L393=$C$13),1,IF(MOD(L393,2)=0,2,4))</x:f>
        <x:v>4</x:v>
      </x:c>
      <x:c r="O393" s="84" t="n">
        <x:f>NORM.S.DIST(M393,FALSE)*NORM.S.DIST(($H$10-$H$7*M393)/SQRT(1-$H$7^2),TRUE)</x:f>
        <x:v>0.25459561062434194</x:v>
      </x:c>
      <x:c r="P393" s="84" t="n">
        <x:f>N393*O393</x:f>
        <x:v>1.0183824424973678</x:v>
      </x:c>
      <x:c r="Q393" s="84" t="n">
        <x:f>$C$14+(($H$9-$C$14)/$C$13)*L393</x:f>
        <x:v>-0.6837709909810243</x:v>
      </x:c>
      <x:c r="R393" s="84" t="n">
        <x:f>NORM.S.DIST(Q393,FALSE)*NORM.S.DIST(($H$11-$H$7*Q393)/SQRT(1-$H$7^2),TRUE)</x:f>
        <x:v>0.21015023057656143</x:v>
      </x:c>
      <x:c r="S393" s="84" t="n">
        <x:f>N393*R393</x:f>
        <x:v>0.8406009223062457</x:v>
      </x:c>
    </x:row>
    <x:row r="394">
      <x:c r="L394" s="64" t="n">
        <x:f>388</x:f>
        <x:v>388</x:v>
      </x:c>
      <x:c r="M394" s="84" t="n">
        <x:f>$C$14+(($H$8-$C$14)/$C$13)*L394</x:f>
        <x:v>-0.49511600646159515</x:v>
      </x:c>
      <x:c r="N394" s="84" t="n">
        <x:f>IF(OR(L394=0,L394=$C$13),1,IF(MOD(L394,2)=0,2,4))</x:f>
        <x:v>2</x:v>
      </x:c>
      <x:c r="O394" s="84" t="n">
        <x:f>NORM.S.DIST(M394,FALSE)*NORM.S.DIST(($H$10-$H$7*M394)/SQRT(1-$H$7^2),TRUE)</x:f>
        <x:v>0.25481690921350103</x:v>
      </x:c>
      <x:c r="P394" s="84" t="n">
        <x:f>N394*O394</x:f>
        <x:v>0.5096338184270021</x:v>
      </x:c>
      <x:c r="Q394" s="84" t="n">
        <x:f>$C$14+(($H$9-$C$14)/$C$13)*L394</x:f>
        <x:v>-0.6648660064615957</x:v>
      </x:c>
      <x:c r="R394" s="84" t="n">
        <x:f>NORM.S.DIST(Q394,FALSE)*NORM.S.DIST(($H$11-$H$7*Q394)/SQRT(1-$H$7^2),TRUE)</x:f>
        <x:v>0.21063607329045755</x:v>
      </x:c>
      <x:c r="S394" s="84" t="n">
        <x:f>N394*R394</x:f>
        <x:v>0.4212721465809151</x:v>
      </x:c>
    </x:row>
    <x:row r="395">
      <x:c r="L395" s="64" t="n">
        <x:f>389</x:f>
        <x:v>389</x:v>
      </x:c>
      <x:c r="M395" s="84" t="n">
        <x:f>$C$14+(($H$8-$C$14)/$C$13)*L395</x:f>
        <x:v>-0.47577352194216616</x:v>
      </x:c>
      <x:c r="N395" s="84" t="n">
        <x:f>IF(OR(L395=0,L395=$C$13),1,IF(MOD(L395,2)=0,2,4))</x:f>
        <x:v>4</x:v>
      </x:c>
      <x:c r="O395" s="84" t="n">
        <x:f>NORM.S.DIST(M395,FALSE)*NORM.S.DIST(($H$10-$H$7*M395)/SQRT(1-$H$7^2),TRUE)</x:f>
        <x:v>0.2548963233869175</x:v>
      </x:c>
      <x:c r="P395" s="84" t="n">
        <x:f>N395*O395</x:f>
        <x:v>1.01958529354767</x:v>
      </x:c>
      <x:c r="Q395" s="84" t="n">
        <x:f>$C$14+(($H$9-$C$14)/$C$13)*L395</x:f>
        <x:v>-0.6459610219421661</x:v>
      </x:c>
      <x:c r="R395" s="84" t="n">
        <x:f>NORM.S.DIST(Q395,FALSE)*NORM.S.DIST(($H$11-$H$7*Q395)/SQRT(1-$H$7^2),TRUE)</x:f>
        <x:v>0.21100700561946903</x:v>
      </x:c>
      <x:c r="S395" s="84" t="n">
        <x:f>N395*R395</x:f>
        <x:v>0.8440280224778761</x:v>
      </x:c>
    </x:row>
    <x:row r="396">
      <x:c r="L396" s="64" t="n">
        <x:f>390</x:f>
        <x:v>390</x:v>
      </x:c>
      <x:c r="M396" s="84" t="n">
        <x:f>$C$14+(($H$8-$C$14)/$C$13)*L396</x:f>
        <x:v>-0.45643103742273716</x:v>
      </x:c>
      <x:c r="N396" s="84" t="n">
        <x:f>IF(OR(L396=0,L396=$C$13),1,IF(MOD(L396,2)=0,2,4))</x:f>
        <x:v>2</x:v>
      </x:c>
      <x:c r="O396" s="84" t="n">
        <x:f>NORM.S.DIST(M396,FALSE)*NORM.S.DIST(($H$10-$H$7*M396)/SQRT(1-$H$7^2),TRUE)</x:f>
        <x:v>0.2548332085100539</x:v>
      </x:c>
      <x:c r="P396" s="84" t="n">
        <x:f>N396*O396</x:f>
        <x:v>0.5096664170201078</x:v>
      </x:c>
      <x:c r="Q396" s="84" t="n">
        <x:f>$C$14+(($H$9-$C$14)/$C$13)*L396</x:f>
        <x:v>-0.6270560374227374</x:v>
      </x:c>
      <x:c r="R396" s="84" t="n">
        <x:f>NORM.S.DIST(Q396,FALSE)*NORM.S.DIST(($H$11-$H$7*Q396)/SQRT(1-$H$7^2),TRUE)</x:f>
        <x:v>0.21126204374290009</x:v>
      </x:c>
      <x:c r="S396" s="84" t="n">
        <x:f>N396*R396</x:f>
        <x:v>0.42252408748580017</x:v>
      </x:c>
    </x:row>
    <x:row r="397">
      <x:c r="L397" s="64" t="n">
        <x:f>391</x:f>
        <x:v>391</x:v>
      </x:c>
      <x:c r="M397" s="84" t="n">
        <x:f>$C$14+(($H$8-$C$14)/$C$13)*L397</x:f>
        <x:v>-0.43708855290330817</x:v>
      </x:c>
      <x:c r="N397" s="84" t="n">
        <x:f>IF(OR(L397=0,L397=$C$13),1,IF(MOD(L397,2)=0,2,4))</x:f>
        <x:v>4</x:v>
      </x:c>
      <x:c r="O397" s="84" t="n">
        <x:f>NORM.S.DIST(M397,FALSE)*NORM.S.DIST(($H$10-$H$7*M397)/SQRT(1-$H$7^2),TRUE)</x:f>
        <x:v>0.2546271617742496</x:v>
      </x:c>
      <x:c r="P397" s="84" t="n">
        <x:f>N397*O397</x:f>
        <x:v>1.0185086470969984</x:v>
      </x:c>
      <x:c r="Q397" s="84" t="n">
        <x:f>$C$14+(($H$9-$C$14)/$C$13)*L397</x:f>
        <x:v>-0.6081510529033087</x:v>
      </x:c>
      <x:c r="R397" s="84" t="n">
        <x:f>NORM.S.DIST(Q397,FALSE)*NORM.S.DIST(($H$11-$H$7*Q397)/SQRT(1-$H$7^2),TRUE)</x:f>
        <x:v>0.21140039522518797</x:v>
      </x:c>
      <x:c r="S397" s="84" t="n">
        <x:f>N397*R397</x:f>
        <x:v>0.8456015809007519</x:v>
      </x:c>
    </x:row>
    <x:row r="398">
      <x:c r="L398" s="64" t="n">
        <x:f>392</x:f>
        <x:v>392</x:v>
      </x:c>
      <x:c r="M398" s="84" t="n">
        <x:f>$C$14+(($H$8-$C$14)/$C$13)*L398</x:f>
        <x:v>-0.41774606838388006</x:v>
      </x:c>
      <x:c r="N398" s="84" t="n">
        <x:f>IF(OR(L398=0,L398=$C$13),1,IF(MOD(L398,2)=0,2,4))</x:f>
        <x:v>2</x:v>
      </x:c>
      <x:c r="O398" s="84" t="n">
        <x:f>NORM.S.DIST(M398,FALSE)*NORM.S.DIST(($H$10-$H$7*M398)/SQRT(1-$H$7^2),TRUE)</x:f>
        <x:v>0.2542780248327409</x:v>
      </x:c>
      <x:c r="P398" s="84" t="n">
        <x:f>N398*O398</x:f>
        <x:v>0.5085560496654818</x:v>
      </x:c>
      <x:c r="Q398" s="84" t="n">
        <x:f>$C$14+(($H$9-$C$14)/$C$13)*L398</x:f>
        <x:v>-0.58924606838388</x:v>
      </x:c>
      <x:c r="R398" s="84" t="n">
        <x:f>NORM.S.DIST(Q398,FALSE)*NORM.S.DIST(($H$11-$H$7*Q398)/SQRT(1-$H$7^2),TRUE)</x:f>
        <x:v>0.21142146227661535</x:v>
      </x:c>
      <x:c r="S398" s="84" t="n">
        <x:f>N398*R398</x:f>
        <x:v>0.4228429245532307</x:v>
      </x:c>
    </x:row>
    <x:row r="399">
      <x:c r="L399" s="64" t="n">
        <x:f>393</x:f>
        <x:v>393</x:v>
      </x:c>
      <x:c r="M399" s="84" t="n">
        <x:f>$C$14+(($H$8-$C$14)/$C$13)*L399</x:f>
        <x:v>-0.39840358386445107</x:v>
      </x:c>
      <x:c r="N399" s="84" t="n">
        <x:f>IF(OR(L399=0,L399=$C$13),1,IF(MOD(L399,2)=0,2,4))</x:f>
        <x:v>4</x:v>
      </x:c>
      <x:c r="O399" s="84" t="n">
        <x:f>NORM.S.DIST(M399,FALSE)*NORM.S.DIST(($H$10-$H$7*M399)/SQRT(1-$H$7^2),TRUE)</x:f>
        <x:v>0.25378588573520927</x:v>
      </x:c>
      <x:c r="P399" s="84" t="n">
        <x:f>N399*O399</x:f>
        <x:v>1.015143542940837</x:v>
      </x:c>
      <x:c r="Q399" s="84" t="n">
        <x:f>$C$14+(($H$9-$C$14)/$C$13)*L399</x:f>
        <x:v>-0.5703410838644505</x:v>
      </x:c>
      <x:c r="R399" s="84" t="n">
        <x:f>NORM.S.DIST(Q399,FALSE)*NORM.S.DIST(($H$11-$H$7*Q399)/SQRT(1-$H$7^2),TRUE)</x:f>
        <x:v>0.21132484447365998</x:v>
      </x:c>
      <x:c r="S399" s="84" t="n">
        <x:f>N399*R399</x:f>
        <x:v>0.8452993778946399</x:v>
      </x:c>
    </x:row>
    <x:row r="400">
      <x:c r="L400" s="64" t="n">
        <x:f>394</x:f>
        <x:v>394</x:v>
      </x:c>
      <x:c r="M400" s="84" t="n">
        <x:f>$C$14+(($H$8-$C$14)/$C$13)*L400</x:f>
        <x:v>-0.3790610993450221</x:v>
      </x:c>
      <x:c r="N400" s="84" t="n">
        <x:f>IF(OR(L400=0,L400=$C$13),1,IF(MOD(L400,2)=0,2,4))</x:f>
        <x:v>2</x:v>
      </x:c>
      <x:c r="O400" s="84" t="n">
        <x:f>NORM.S.DIST(M400,FALSE)*NORM.S.DIST(($H$10-$H$7*M400)/SQRT(1-$H$7^2),TRUE)</x:f>
        <x:v>0.2531510801468931</x:v>
      </x:c>
      <x:c r="P400" s="84" t="n">
        <x:f>N400*O400</x:f>
        <x:v>0.5063021602937862</x:v>
      </x:c>
      <x:c r="Q400" s="84" t="n">
        <x:f>$C$14+(($H$9-$C$14)/$C$13)*L400</x:f>
        <x:v>-0.5514360993450218</x:v>
      </x:c>
      <x:c r="R400" s="84" t="n">
        <x:f>NORM.S.DIST(Q400,FALSE)*NORM.S.DIST(($H$11-$H$7*Q400)/SQRT(1-$H$7^2),TRUE)</x:f>
        <x:v>0.21111034092401784</x:v>
      </x:c>
      <x:c r="S400" s="84" t="n">
        <x:f>N400*R400</x:f>
        <x:v>0.4222206818480357</x:v>
      </x:c>
    </x:row>
    <x:row r="401">
      <x:c r="L401" s="64" t="n">
        <x:f>395</x:f>
        <x:v>395</x:v>
      </x:c>
      <x:c r="M401" s="84" t="n">
        <x:f>$C$14+(($H$8-$C$14)/$C$13)*L401</x:f>
        <x:v>-0.3597186148255931</x:v>
      </x:c>
      <x:c r="N401" s="84" t="n">
        <x:f>IF(OR(L401=0,L401=$C$13),1,IF(MOD(L401,2)=0,2,4))</x:f>
        <x:v>4</x:v>
      </x:c>
      <x:c r="O401" s="84" t="n">
        <x:f>NORM.S.DIST(M401,FALSE)*NORM.S.DIST(($H$10-$H$7*M401)/SQRT(1-$H$7^2),TRUE)</x:f>
        <x:v>0.25237419184121435</x:v>
      </x:c>
      <x:c r="P401" s="84" t="n">
        <x:f>N401*O401</x:f>
        <x:v>1.0094967673648574</x:v>
      </x:c>
      <x:c r="Q401" s="84" t="n">
        <x:f>$C$14+(($H$9-$C$14)/$C$13)*L401</x:f>
        <x:v>-0.5325311148255931</x:v>
      </x:c>
      <x:c r="R401" s="84" t="n">
        <x:f>NORM.S.DIST(Q401,FALSE)*NORM.S.DIST(($H$11-$H$7*Q401)/SQRT(1-$H$7^2),TRUE)</x:f>
        <x:v>0.21077795186351161</x:v>
      </x:c>
      <x:c r="S401" s="84" t="n">
        <x:f>N401*R401</x:f>
        <x:v>0.8431118074540465</x:v>
      </x:c>
    </x:row>
    <x:row r="402">
      <x:c r="L402" s="64" t="n">
        <x:f>396</x:f>
        <x:v>396</x:v>
      </x:c>
      <x:c r="M402" s="84" t="n">
        <x:f>$C$14+(($H$8-$C$14)/$C$13)*L402</x:f>
        <x:v>-0.3403761303061641</x:v>
      </x:c>
      <x:c r="N402" s="84" t="n">
        <x:f>IF(OR(L402=0,L402=$C$13),1,IF(MOD(L402,2)=0,2,4))</x:f>
        <x:v>2</x:v>
      </x:c>
      <x:c r="O402" s="84" t="n">
        <x:f>NORM.S.DIST(M402,FALSE)*NORM.S.DIST(($H$10-$H$7*M402)/SQRT(1-$H$7^2),TRUE)</x:f>
        <x:v>0.25145605245787794</x:v>
      </x:c>
      <x:c r="P402" s="84" t="n">
        <x:f>N402*O402</x:f>
        <x:v>0.5029121049157559</x:v>
      </x:c>
      <x:c r="Q402" s="84" t="n">
        <x:f>$C$14+(($H$9-$C$14)/$C$13)*L402</x:f>
        <x:v>-0.5136261303061644</x:v>
      </x:c>
      <x:c r="R402" s="84" t="n">
        <x:f>NORM.S.DIST(Q402,FALSE)*NORM.S.DIST(($H$11-$H$7*Q402)/SQRT(1-$H$7^2),TRUE)</x:f>
        <x:v>0.21032787967436498</x:v>
      </x:c>
      <x:c r="S402" s="84" t="n">
        <x:f>N402*R402</x:f>
        <x:v>0.42065575934872995</x:v>
      </x:c>
    </x:row>
    <x:row r="403">
      <x:c r="L403" s="64" t="n">
        <x:f>397</x:f>
        <x:v>397</x:v>
      </x:c>
      <x:c r="M403" s="84" t="n">
        <x:f>$C$14+(($H$8-$C$14)/$C$13)*L403</x:f>
        <x:v>-0.3210336457867351</x:v>
      </x:c>
      <x:c r="N403" s="84" t="n">
        <x:f>IF(OR(L403=0,L403=$C$13),1,IF(MOD(L403,2)=0,2,4))</x:f>
        <x:v>4</x:v>
      </x:c>
      <x:c r="O403" s="84" t="n">
        <x:f>NORM.S.DIST(M403,FALSE)*NORM.S.DIST(($H$10-$H$7*M403)/SQRT(1-$H$7^2),TRUE)</x:f>
        <x:v>0.2503977405214802</x:v>
      </x:c>
      <x:c r="P403" s="84" t="n">
        <x:f>N403*O403</x:f>
        <x:v>1.001590962085921</x:v>
      </x:c>
      <x:c r="Q403" s="84" t="n">
        <x:f>$C$14+(($H$9-$C$14)/$C$13)*L403</x:f>
        <x:v>-0.49472114578673576</x:v>
      </x:c>
      <x:c r="R403" s="84" t="n">
        <x:f>NORM.S.DIST(Q403,FALSE)*NORM.S.DIST(($H$11-$H$7*Q403)/SQRT(1-$H$7^2),TRUE)</x:f>
        <x:v>0.2097605293166612</x:v>
      </x:c>
      <x:c r="S403" s="84" t="n">
        <x:f>N403*R403</x:f>
        <x:v>0.8390421172666448</x:v>
      </x:c>
    </x:row>
    <x:row r="404">
      <x:c r="L404" s="64" t="n">
        <x:f>398</x:f>
        <x:v>398</x:v>
      </x:c>
      <x:c r="M404" s="84" t="n">
        <x:f>$C$14+(($H$8-$C$14)/$C$13)*L404</x:f>
        <x:v>-0.3016911612673061</x:v>
      </x:c>
      <x:c r="N404" s="84" t="n">
        <x:f>IF(OR(L404=0,L404=$C$13),1,IF(MOD(L404,2)=0,2,4))</x:f>
        <x:v>2</x:v>
      </x:c>
      <x:c r="O404" s="84" t="n">
        <x:f>NORM.S.DIST(M404,FALSE)*NORM.S.DIST(($H$10-$H$7*M404)/SQRT(1-$H$7^2),TRUE)</x:f>
        <x:v>0.24920057971880344</x:v>
      </x:c>
      <x:c r="P404" s="84" t="n">
        <x:f>N404*O404</x:f>
        <x:v>0.4984011594376069</x:v>
      </x:c>
      <x:c r="Q404" s="84" t="n">
        <x:f>$C$14+(($H$9-$C$14)/$C$13)*L404</x:f>
        <x:v>-0.4758161612673062</x:v>
      </x:c>
      <x:c r="R404" s="84" t="n">
        <x:f>NORM.S.DIST(Q404,FALSE)*NORM.S.DIST(($H$11-$H$7*Q404)/SQRT(1-$H$7^2),TRUE)</x:f>
        <x:v>0.20907650816720924</x:v>
      </x:c>
      <x:c r="S404" s="84" t="n">
        <x:f>N404*R404</x:f>
        <x:v>0.4181530163344185</x:v>
      </x:c>
    </x:row>
    <x:row r="405">
      <x:c r="L405" s="64" t="n">
        <x:f>399</x:f>
        <x:v>399</x:v>
      </x:c>
      <x:c r="M405" s="84" t="n">
        <x:f>$C$14+(($H$8-$C$14)/$C$13)*L405</x:f>
        <x:v>-0.2823486767478771</x:v>
      </x:c>
      <x:c r="N405" s="84" t="n">
        <x:f>IF(OR(L405=0,L405=$C$13),1,IF(MOD(L405,2)=0,2,4))</x:f>
        <x:v>4</x:v>
      </x:c>
      <x:c r="O405" s="84" t="n">
        <x:f>NORM.S.DIST(M405,FALSE)*NORM.S.DIST(($H$10-$H$7*M405)/SQRT(1-$H$7^2),TRUE)</x:f>
        <x:v>0.24786613643615354</x:v>
      </x:c>
      <x:c r="P405" s="84" t="n">
        <x:f>N405*O405</x:f>
        <x:v>0.9914645457446142</x:v>
      </x:c>
      <x:c r="Q405" s="84" t="n">
        <x:f>$C$14+(($H$9-$C$14)/$C$13)*L405</x:f>
        <x:v>-0.4569111767478775</x:v>
      </x:c>
      <x:c r="R405" s="84" t="n">
        <x:f>NORM.S.DIST(Q405,FALSE)*NORM.S.DIST(($H$11-$H$7*Q405)/SQRT(1-$H$7^2),TRUE)</x:f>
        <x:v>0.2082766252625011</x:v>
      </x:c>
      <x:c r="S405" s="84" t="n">
        <x:f>N405*R405</x:f>
        <x:v>0.8331065010500044</x:v>
      </x:c>
    </x:row>
    <x:row r="406">
      <x:c r="L406" s="64" t="n">
        <x:f>400</x:f>
        <x:v>400</x:v>
      </x:c>
      <x:c r="M406" s="84" t="n">
        <x:f>$C$14+(($H$8-$C$14)/$C$13)*L406</x:f>
        <x:v>-0.263006192228449</x:v>
      </x:c>
      <x:c r="N406" s="84" t="n">
        <x:f>IF(OR(L406=0,L406=$C$13),1,IF(MOD(L406,2)=0,2,4))</x:f>
        <x:v>1</x:v>
      </x:c>
      <x:c r="O406" s="84" t="n">
        <x:f>NORM.S.DIST(M406,FALSE)*NORM.S.DIST(($H$10-$H$7*M406)/SQRT(1-$H$7^2),TRUE)</x:f>
        <x:v>0.24639621656130387</x:v>
      </x:c>
      <x:c r="P406" s="84" t="n">
        <x:f>N406*O406</x:f>
        <x:v>0.24639621656130387</x:v>
      </x:c>
      <x:c r="Q406" s="84" t="n">
        <x:f>$C$14+(($H$9-$C$14)/$C$13)*L406</x:f>
        <x:v>-0.43800619222844883</x:v>
      </x:c>
      <x:c r="R406" s="84" t="n">
        <x:f>NORM.S.DIST(Q406,FALSE)*NORM.S.DIST(($H$11-$H$7*Q406)/SQRT(1-$H$7^2),TRUE)</x:f>
        <x:v>0.2073618899449324</x:v>
      </x:c>
      <x:c r="S406" s="84" t="n">
        <x:f>N406*R406</x:f>
        <x:v>0.2073618899449324</x:v>
      </x:c>
    </x:row>
  </x:sheetData>
  <x:mergeCells>
    <x:mergeCell ref="A1:J1"/>
    <x:mergeCell ref="A3:D3"/>
    <x:mergeCell ref="F3:J3"/>
    <x:mergeCell ref="A18:J18"/>
    <x:mergeCell ref="A30:F30"/>
    <x:mergeCell ref="L3:S3"/>
    <x:mergeCell ref="L4:S4"/>
    <x:mergeCell ref="A95:J95"/>
  </x:mergeCells>
  <x:dataValidations count="1">
    <x:dataValidation type="list" sqref="C14">
      <x:formula1>"100,200,400,800"</x:formula1>
    </x:dataValidation>
  </x:dataValidations>
  <x:pageMargins left="0.7" right="0.7" top="0.75" bottom="0.75" header="0.3" footer="0.3"/>
</x:worksheet>
</file>