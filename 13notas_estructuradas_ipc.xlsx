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baca1ade275a461a" /></Relationships>
</file>

<file path=xl/workbook.xml><?xml version="1.0" encoding="utf-8"?>
<x:workbook xmlns:x="http://schemas.openxmlformats.org/spreadsheetml/2006/main">
  <x:sheets>
    <x:sheet xmlns:r="http://schemas.openxmlformats.org/officeDocument/2006/relationships" name="Notas IPC" sheetId="1" r:id="R13bc443e78624eb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0"/>
    <x:numFmt numFmtId="202" formatCode="$#,##0.00;[Red]($#,##0.00);-"/>
    <x:numFmt numFmtId="203" formatCode="0%"/>
    <x:numFmt numFmtId="204" formatCode="0.0000"/>
  </x:numFmts>
  <x:fonts count="9">
    <x:font>
      <x:sz val="11"/>
      <x:name val="Carlito"/>
    </x:font>
    <x:font>
      <x:b/>
      <x:sz val="16"/>
      <x:color rgb="FFFFFF"/>
      <x:name val="Carlito"/>
    </x:font>
    <x:font>
      <x:i/>
      <x:sz val="11"/>
      <x:color rgb="1F2937"/>
      <x:name val="Carlito"/>
    </x:font>
    <x:font>
      <x:b/>
      <x:sz val="11"/>
      <x:color rgb="FFFFFF"/>
      <x:name val="Carlito"/>
    </x:font>
    <x:font>
      <x:sz val="11"/>
      <x:color rgb="0000FF"/>
      <x:name val="Carlito"/>
    </x:font>
    <x:font>
      <x:b/>
      <x:sz val="12"/>
      <x:color rgb="FFFFFF"/>
      <x:name val="Carlito"/>
    </x:font>
    <x:font>
      <x:b/>
      <x:sz val="11"/>
      <x:color rgb="375623"/>
      <x:name val="Carlito"/>
    </x:font>
    <x:font>
      <x:b/>
      <x:sz val="11"/>
      <x:color rgb="9C0006"/>
      <x:name val="Carlito"/>
    </x:font>
    <x:font>
      <x:sz val="11"/>
      <x:color rgb="1F2937"/>
      <x:name val="Carlito"/>
    </x:font>
  </x:fonts>
  <x:fills count="9">
    <x:fill>
      <x:patternFill patternType="none"/>
    </x:fill>
    <x:fill>
      <x:patternFill patternType="gray125"/>
    </x:fill>
    <x:fill>
      <x:patternFill patternType="solid">
        <x:fgColor rgb="0B1F3A"/>
      </x:patternFill>
    </x:fill>
    <x:fill>
      <x:patternFill patternType="solid">
        <x:fgColor rgb="EAF2F8"/>
      </x:patternFill>
    </x:fill>
    <x:fill>
      <x:patternFill patternType="solid">
        <x:fgColor rgb="17365D"/>
      </x:patternFill>
    </x:fill>
    <x:fill>
      <x:patternFill patternType="solid">
        <x:fgColor rgb="305496"/>
      </x:patternFill>
    </x:fill>
    <x:fill>
      <x:patternFill patternType="solid">
        <x:fgColor rgb="FFF2CC"/>
      </x:patternFill>
    </x:fill>
    <x:fill>
      <x:patternFill patternType="solid">
        <x:fgColor rgb="E2F0D9"/>
      </x:patternFill>
    </x:fill>
    <x:fill>
      <x:patternFill patternType="solid">
        <x:fgColor rgb="FCE4D6"/>
      </x:patternFill>
    </x:fill>
  </x:fills>
  <x:borders count="20">
    <x:border/>
    <x:border/>
    <x:border>
      <x:right>
        <x:color rgb="D9E2F3"/>
      </x:right>
      <x:bottom>
        <x:color rgb="D9E2F3"/>
      </x:bottom>
    </x:border>
    <x:border>
      <x:left>
        <x:color rgb="D9E2F3"/>
      </x:left>
      <x:right>
        <x:color rgb="D9E2F3"/>
      </x:right>
      <x:bottom>
        <x:color rgb="D9E2F3"/>
      </x:bottom>
    </x:border>
    <x:border>
      <x:left>
        <x:color rgb="D9E2F3"/>
      </x:left>
      <x:bottom>
        <x:color rgb="D9E2F3"/>
      </x:bottom>
    </x:border>
    <x:border>
      <x:right>
        <x:color rgb="D9E2F3"/>
      </x:right>
      <x:top>
        <x:color rgb="D9E2F3"/>
      </x:top>
      <x:bottom>
        <x:color rgb="D9E2F3"/>
      </x:bottom>
    </x:border>
    <x:border>
      <x:left>
        <x:color rgb="D9E2F3"/>
      </x:left>
      <x:right>
        <x:color rgb="D9E2F3"/>
      </x:right>
      <x:top>
        <x:color rgb="D9E2F3"/>
      </x:top>
      <x:bottom>
        <x:color rgb="D9E2F3"/>
      </x:bottom>
    </x:border>
    <x:border>
      <x:left>
        <x:color rgb="D9E2F3"/>
      </x:left>
      <x:top>
        <x:color rgb="D9E2F3"/>
      </x:top>
      <x:bottom>
        <x:color rgb="D9E2F3"/>
      </x:bottom>
    </x:border>
    <x:border>
      <x:right>
        <x:color rgb="D9E2F3"/>
      </x:right>
      <x:top>
        <x:color rgb="D9E2F3"/>
      </x:top>
    </x:border>
    <x:border>
      <x:left>
        <x:color rgb="D9E2F3"/>
      </x:left>
      <x:right>
        <x:color rgb="D9E2F3"/>
      </x:right>
      <x:top>
        <x:color rgb="D9E2F3"/>
      </x:top>
    </x:border>
    <x:border>
      <x:left>
        <x:color rgb="D9E2F3"/>
      </x:left>
      <x:top>
        <x:color rgb="D9E2F3"/>
      </x:top>
    </x:border>
    <x:border>
      <x:right>
        <x:color rgb="D9E2F3"/>
      </x:right>
      <x:bottom>
        <x:color rgb="D9E2F3"/>
      </x:bottom>
    </x:border>
    <x:border>
      <x:left>
        <x:color rgb="D9E2F3"/>
      </x:left>
      <x:right>
        <x:color rgb="D9E2F3"/>
      </x:right>
      <x:bottom>
        <x:color rgb="D9E2F3"/>
      </x:bottom>
    </x:border>
    <x:border>
      <x:left>
        <x:color rgb="D9E2F3"/>
      </x:left>
      <x:bottom>
        <x:color rgb="D9E2F3"/>
      </x:bottom>
    </x:border>
    <x:border>
      <x:right>
        <x:color rgb="D9E2F3"/>
      </x:right>
      <x:top>
        <x:color rgb="D9E2F3"/>
      </x:top>
      <x:bottom>
        <x:color rgb="D9E2F3"/>
      </x:bottom>
    </x:border>
    <x:border>
      <x:left>
        <x:color rgb="D9E2F3"/>
      </x:left>
      <x:right>
        <x:color rgb="D9E2F3"/>
      </x:right>
      <x:top>
        <x:color rgb="D9E2F3"/>
      </x:top>
      <x:bottom>
        <x:color rgb="D9E2F3"/>
      </x:bottom>
    </x:border>
    <x:border>
      <x:left>
        <x:color rgb="D9E2F3"/>
      </x:left>
      <x:top>
        <x:color rgb="D9E2F3"/>
      </x:top>
      <x:bottom>
        <x:color rgb="D9E2F3"/>
      </x:bottom>
    </x:border>
    <x:border>
      <x:right>
        <x:color rgb="D9E2F3"/>
      </x:right>
      <x:top>
        <x:color rgb="D9E2F3"/>
      </x:top>
    </x:border>
    <x:border>
      <x:left>
        <x:color rgb="D9E2F3"/>
      </x:left>
      <x:right>
        <x:color rgb="D9E2F3"/>
      </x:right>
      <x:top>
        <x:color rgb="D9E2F3"/>
      </x:top>
    </x:border>
    <x:border>
      <x:left>
        <x:color rgb="D9E2F3"/>
      </x:left>
      <x:top>
        <x:color rgb="D9E2F3"/>
      </x:top>
    </x:border>
  </x:borders>
  <x:cellStyleXfs count="1">
    <x:xf numFmtId="0" fontId="0" fillId="0" borderId="0"/>
  </x:cellStyleXfs>
  <x:cellXfs count="24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center"/>
    </x:xf>
    <x:xf numFmtId="0" fontId="3" fillId="5" borderId="1" xfId="0" applyNumberFormat="1" applyFont="1" applyFill="1" applyBorder="1" applyAlignment="1">
      <x:alignment horizontal="center"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horizontal="right"/>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horizontal="right"/>
    </x:xf>
    <x:xf numFmtId="200" fontId="4" fillId="6" borderId="0" xfId="0" applyNumberFormat="1" applyFont="1" applyFill="1" applyBorder="1" applyAlignment="1">
      <x:alignment horizontal="right"/>
    </x:xf>
    <x:xf numFmtId="200" fontId="4" fillId="6" borderId="1" xfId="0" applyNumberFormat="1" applyFont="1" applyFill="1" applyBorder="1" applyAlignment="1">
      <x:alignment horizontal="right"/>
    </x:xf>
    <x:xf numFmtId="201" fontId="4" fillId="6" borderId="0" xfId="0" applyNumberFormat="1" applyFont="1" applyFill="1" applyBorder="1" applyAlignment="1">
      <x:alignment horizontal="right"/>
    </x:xf>
    <x:xf numFmtId="201" fontId="4" fillId="6" borderId="1" xfId="0" applyNumberFormat="1" applyFont="1" applyFill="1" applyBorder="1" applyAlignment="1">
      <x:alignment horizontal="right"/>
    </x:xf>
    <x:xf numFmtId="0" fontId="0" fillId="0" borderId="2" xfId="0" applyNumberFormat="1" applyFont="1" applyFill="1" applyBorder="1"/>
    <x:xf numFmtId="0" fontId="0" fillId="0" borderId="3" xfId="0" applyNumberFormat="1" applyFont="1" applyFill="1" applyBorder="1"/>
    <x:xf numFmtId="201" fontId="4" fillId="6" borderId="3" xfId="0" applyNumberFormat="1" applyFont="1" applyFill="1" applyBorder="1" applyAlignment="1">
      <x:alignment horizontal="right"/>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201" fontId="4" fillId="6" borderId="6" xfId="0" applyNumberFormat="1" applyFont="1" applyFill="1" applyBorder="1" applyAlignment="1">
      <x:alignment horizontal="right"/>
    </x:xf>
    <x:xf numFmtId="0" fontId="0" fillId="0" borderId="7" xfId="0" applyNumberFormat="1" applyFont="1" applyFill="1" applyBorder="1"/>
    <x:xf numFmtId="200" fontId="4" fillId="6" borderId="6" xfId="0" applyNumberFormat="1" applyFont="1" applyFill="1" applyBorder="1" applyAlignment="1">
      <x:alignment horizontal="right"/>
    </x:xf>
    <x:xf numFmtId="0" fontId="0" fillId="0" borderId="8" xfId="0" applyNumberFormat="1" applyFont="1" applyFill="1" applyBorder="1"/>
    <x:xf numFmtId="0" fontId="0" fillId="0" borderId="9" xfId="0" applyNumberFormat="1" applyFont="1" applyFill="1" applyBorder="1"/>
    <x:xf numFmtId="200" fontId="4" fillId="6" borderId="9" xfId="0" applyNumberFormat="1" applyFont="1" applyFill="1" applyBorder="1" applyAlignment="1">
      <x:alignment horizontal="right"/>
    </x:xf>
    <x:xf numFmtId="0" fontId="0" fillId="0" borderId="10" xfId="0" applyNumberFormat="1" applyFont="1" applyFill="1" applyBorder="1"/>
    <x:xf numFmtId="0" fontId="0" fillId="0" borderId="2" xfId="0" applyNumberFormat="1" applyFont="1" applyFill="1" applyBorder="1" applyAlignment="1">
      <x:alignment vertical="center"/>
    </x:xf>
    <x:xf numFmtId="0" fontId="0" fillId="0" borderId="3" xfId="0" applyNumberFormat="1" applyFont="1" applyFill="1" applyBorder="1" applyAlignment="1">
      <x:alignment vertical="center"/>
    </x:xf>
    <x:xf numFmtId="201" fontId="4" fillId="6" borderId="3" xfId="0" applyNumberFormat="1" applyFont="1" applyFill="1" applyBorder="1" applyAlignment="1">
      <x:alignment horizontal="right" vertical="center"/>
    </x:xf>
    <x:xf numFmtId="0" fontId="0" fillId="0" borderId="4" xfId="0" applyNumberFormat="1" applyFont="1" applyFill="1" applyBorder="1" applyAlignment="1">
      <x:alignment vertical="center"/>
    </x:xf>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201" fontId="4" fillId="6" borderId="6" xfId="0" applyNumberFormat="1" applyFont="1" applyFill="1" applyBorder="1" applyAlignment="1">
      <x:alignment horizontal="right" vertical="center"/>
    </x:xf>
    <x:xf numFmtId="0" fontId="0" fillId="0" borderId="7" xfId="0" applyNumberFormat="1" applyFont="1" applyFill="1" applyBorder="1" applyAlignment="1">
      <x:alignment vertical="center"/>
    </x:xf>
    <x:xf numFmtId="200" fontId="4" fillId="6" borderId="6" xfId="0" applyNumberFormat="1" applyFont="1" applyFill="1" applyBorder="1" applyAlignment="1">
      <x:alignment horizontal="right" vertical="center"/>
    </x:xf>
    <x:xf numFmtId="0" fontId="0" fillId="0" borderId="8" xfId="0" applyNumberFormat="1" applyFont="1" applyFill="1" applyBorder="1" applyAlignment="1">
      <x:alignment vertical="center"/>
    </x:xf>
    <x:xf numFmtId="0" fontId="0" fillId="0" borderId="9" xfId="0" applyNumberFormat="1" applyFont="1" applyFill="1" applyBorder="1" applyAlignment="1">
      <x:alignment vertical="center"/>
    </x:xf>
    <x:xf numFmtId="200" fontId="4" fillId="6" borderId="9" xfId="0" applyNumberFormat="1" applyFont="1" applyFill="1" applyBorder="1" applyAlignment="1">
      <x:alignment horizontal="right" vertical="center"/>
    </x:xf>
    <x:xf numFmtId="0" fontId="0" fillId="0" borderId="10" xfId="0" applyNumberFormat="1" applyFont="1" applyFill="1" applyBorder="1" applyAlignment="1">
      <x:alignment vertical="center"/>
    </x:xf>
    <x:xf numFmtId="0" fontId="0" fillId="0" borderId="11" xfId="0" applyNumberFormat="1" applyFont="1" applyFill="1" applyBorder="1"/>
    <x:xf numFmtId="0" fontId="0" fillId="0" borderId="12" xfId="0" applyNumberFormat="1" applyFont="1" applyFill="1" applyBorder="1"/>
    <x:xf numFmtId="201" fontId="4" fillId="6" borderId="12" xfId="0" applyNumberFormat="1" applyFont="1" applyFill="1" applyBorder="1" applyAlignment="1">
      <x:alignment horizontal="right"/>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201" fontId="4" fillId="6" borderId="15" xfId="0" applyNumberFormat="1" applyFont="1" applyFill="1" applyBorder="1" applyAlignment="1">
      <x:alignment horizontal="right"/>
    </x:xf>
    <x:xf numFmtId="0" fontId="0" fillId="0" borderId="16" xfId="0" applyNumberFormat="1" applyFont="1" applyFill="1" applyBorder="1"/>
    <x:xf numFmtId="200" fontId="4" fillId="6" borderId="15" xfId="0" applyNumberFormat="1" applyFont="1" applyFill="1" applyBorder="1" applyAlignment="1">
      <x:alignment horizontal="right"/>
    </x:xf>
    <x:xf numFmtId="0" fontId="0" fillId="0" borderId="17" xfId="0" applyNumberFormat="1" applyFont="1" applyFill="1" applyBorder="1"/>
    <x:xf numFmtId="0" fontId="0" fillId="0" borderId="18" xfId="0" applyNumberFormat="1" applyFont="1" applyFill="1" applyBorder="1"/>
    <x:xf numFmtId="200" fontId="4" fillId="6" borderId="18" xfId="0" applyNumberFormat="1" applyFont="1" applyFill="1" applyBorder="1" applyAlignment="1">
      <x:alignment horizontal="right"/>
    </x:xf>
    <x:xf numFmtId="0" fontId="0" fillId="0" borderId="19" xfId="0" applyNumberFormat="1" applyFont="1" applyFill="1" applyBorder="1"/>
    <x:xf numFmtId="0" fontId="0" fillId="0" borderId="11" xfId="0" applyNumberFormat="1" applyFont="1" applyFill="1" applyBorder="1" applyAlignment="1">
      <x:alignment vertical="center"/>
    </x:xf>
    <x:xf numFmtId="0" fontId="0" fillId="0" borderId="12" xfId="0" applyNumberFormat="1" applyFont="1" applyFill="1" applyBorder="1" applyAlignment="1">
      <x:alignment vertical="center"/>
    </x:xf>
    <x:xf numFmtId="201" fontId="4" fillId="6" borderId="12" xfId="0" applyNumberFormat="1" applyFont="1" applyFill="1" applyBorder="1" applyAlignment="1">
      <x:alignment horizontal="right" vertical="center"/>
    </x:xf>
    <x:xf numFmtId="0" fontId="0" fillId="0" borderId="13" xfId="0" applyNumberFormat="1" applyFont="1" applyFill="1" applyBorder="1" applyAlignment="1">
      <x:alignment vertical="center"/>
    </x:xf>
    <x:xf numFmtId="0" fontId="0" fillId="0" borderId="14" xfId="0" applyNumberFormat="1" applyFont="1" applyFill="1" applyBorder="1" applyAlignment="1">
      <x:alignment vertical="center"/>
    </x:xf>
    <x:xf numFmtId="0" fontId="0" fillId="0" borderId="15" xfId="0" applyNumberFormat="1" applyFont="1" applyFill="1" applyBorder="1" applyAlignment="1">
      <x:alignment vertical="center"/>
    </x:xf>
    <x:xf numFmtId="201" fontId="4" fillId="6" borderId="15" xfId="0" applyNumberFormat="1" applyFont="1" applyFill="1" applyBorder="1" applyAlignment="1">
      <x:alignment horizontal="right" vertical="center"/>
    </x:xf>
    <x:xf numFmtId="0" fontId="0" fillId="0" borderId="16" xfId="0" applyNumberFormat="1" applyFont="1" applyFill="1" applyBorder="1" applyAlignment="1">
      <x:alignment vertical="center"/>
    </x:xf>
    <x:xf numFmtId="200" fontId="4" fillId="6" borderId="15" xfId="0" applyNumberFormat="1" applyFont="1" applyFill="1" applyBorder="1" applyAlignment="1">
      <x:alignment horizontal="right" vertical="center"/>
    </x:xf>
    <x:xf numFmtId="0" fontId="0" fillId="0" borderId="17" xfId="0" applyNumberFormat="1" applyFont="1" applyFill="1" applyBorder="1" applyAlignment="1">
      <x:alignment vertical="center"/>
    </x:xf>
    <x:xf numFmtId="0" fontId="0" fillId="0" borderId="18" xfId="0" applyNumberFormat="1" applyFont="1" applyFill="1" applyBorder="1" applyAlignment="1">
      <x:alignment vertical="center"/>
    </x:xf>
    <x:xf numFmtId="200" fontId="4" fillId="6" borderId="18" xfId="0" applyNumberFormat="1" applyFont="1" applyFill="1" applyBorder="1" applyAlignment="1">
      <x:alignment horizontal="right" vertical="center"/>
    </x:xf>
    <x:xf numFmtId="0" fontId="0" fillId="0" borderId="19" xfId="0" applyNumberFormat="1" applyFont="1" applyFill="1" applyBorder="1" applyAlignment="1">
      <x:alignment vertical="center"/>
    </x:xf>
    <x:xf numFmtId="0" fontId="0" fillId="0" borderId="4"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3" xfId="0" applyNumberFormat="1" applyFont="1" applyFill="1" applyBorder="1" applyAlignment="1">
      <x:alignment vertical="center" wrapText="1"/>
    </x:xf>
    <x:xf numFmtId="0" fontId="0" fillId="0" borderId="16" xfId="0" applyNumberFormat="1" applyFont="1" applyFill="1" applyBorder="1" applyAlignment="1">
      <x:alignment vertical="center" wrapText="1"/>
    </x:xf>
    <x:xf numFmtId="0" fontId="0" fillId="0" borderId="19" xfId="0" applyNumberFormat="1" applyFont="1" applyFill="1" applyBorder="1" applyAlignment="1">
      <x:alignment vertical="center" wrapText="1"/>
    </x:xf>
    <x:xf numFmtId="202" fontId="0" fillId="0" borderId="0" xfId="0" applyNumberFormat="1" applyFont="1" applyFill="1" applyBorder="1"/>
    <x:xf numFmtId="202"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2" fontId="0" fillId="0" borderId="3" xfId="0" applyNumberFormat="1" applyFont="1" applyFill="1" applyBorder="1"/>
    <x:xf numFmtId="202" fontId="0" fillId="0" borderId="6" xfId="0" applyNumberFormat="1" applyFont="1" applyFill="1" applyBorder="1"/>
    <x:xf numFmtId="200" fontId="0" fillId="0" borderId="9" xfId="0" applyNumberFormat="1" applyFont="1" applyFill="1" applyBorder="1"/>
    <x:xf numFmtId="202" fontId="0" fillId="0" borderId="3" xfId="0" applyNumberFormat="1" applyFont="1" applyFill="1" applyBorder="1" applyAlignment="1">
      <x:alignment vertical="center"/>
    </x:xf>
    <x:xf numFmtId="202" fontId="0" fillId="0" borderId="6" xfId="0" applyNumberFormat="1" applyFont="1" applyFill="1" applyBorder="1" applyAlignment="1">
      <x:alignment vertical="center"/>
    </x:xf>
    <x:xf numFmtId="200" fontId="0" fillId="0" borderId="9" xfId="0" applyNumberFormat="1" applyFont="1" applyFill="1" applyBorder="1" applyAlignment="1">
      <x:alignment vertical="center"/>
    </x:xf>
    <x:xf numFmtId="202" fontId="0" fillId="0" borderId="12" xfId="0" applyNumberFormat="1" applyFont="1" applyFill="1" applyBorder="1"/>
    <x:xf numFmtId="202" fontId="0" fillId="0" borderId="15" xfId="0" applyNumberFormat="1" applyFont="1" applyFill="1" applyBorder="1"/>
    <x:xf numFmtId="200" fontId="0" fillId="0" borderId="18" xfId="0" applyNumberFormat="1" applyFont="1" applyFill="1" applyBorder="1"/>
    <x:xf numFmtId="202" fontId="0" fillId="0" borderId="12" xfId="0" applyNumberFormat="1" applyFont="1" applyFill="1" applyBorder="1" applyAlignment="1">
      <x:alignment vertical="center"/>
    </x:xf>
    <x:xf numFmtId="202" fontId="0" fillId="0" borderId="15" xfId="0" applyNumberFormat="1" applyFont="1" applyFill="1" applyBorder="1" applyAlignment="1">
      <x:alignment vertical="center"/>
    </x:xf>
    <x:xf numFmtId="200" fontId="0" fillId="0" borderId="18" xfId="0" applyNumberFormat="1" applyFont="1" applyFill="1" applyBorder="1" applyAlignment="1">
      <x:alignment vertical="center"/>
    </x:xf>
    <x:xf numFmtId="0" fontId="0" fillId="0" borderId="3"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0" borderId="18"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horizontal="left"/>
    </x:xf>
    <x:xf numFmtId="0" fontId="5" fillId="2" borderId="1" xfId="0" applyNumberFormat="1" applyFont="1" applyFill="1" applyBorder="1"/>
    <x:xf numFmtId="0" fontId="5" fillId="2" borderId="1" xfId="0" applyNumberFormat="1" applyFont="1" applyFill="1" applyBorder="1" applyAlignment="1">
      <x:alignment horizontal="left"/>
    </x:xf>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2"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1"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0" fillId="0" borderId="17" xfId="0" applyNumberFormat="1" applyFont="1" applyFill="1" applyBorder="1" applyAlignment="1">
      <x:alignment vertical="center" wrapText="1"/>
    </x:xf>
    <x:xf numFmtId="200" fontId="0" fillId="0" borderId="3" xfId="0" applyNumberFormat="1" applyFont="1" applyFill="1" applyBorder="1" applyAlignment="1">
      <x:alignment vertical="center" wrapText="1"/>
    </x:xf>
    <x:xf numFmtId="200" fontId="0" fillId="0" borderId="6" xfId="0" applyNumberFormat="1" applyFont="1" applyFill="1" applyBorder="1" applyAlignment="1">
      <x:alignment vertical="center" wrapText="1"/>
    </x:xf>
    <x:xf numFmtId="200" fontId="0" fillId="0" borderId="9" xfId="0" applyNumberFormat="1" applyFont="1" applyFill="1" applyBorder="1" applyAlignment="1">
      <x:alignment vertical="center" wrapText="1"/>
    </x:xf>
    <x:xf numFmtId="200" fontId="0" fillId="0" borderId="12" xfId="0" applyNumberFormat="1" applyFont="1" applyFill="1" applyBorder="1" applyAlignment="1">
      <x:alignment vertical="center" wrapText="1"/>
    </x:xf>
    <x:xf numFmtId="200" fontId="0" fillId="0" borderId="15" xfId="0" applyNumberFormat="1" applyFont="1" applyFill="1" applyBorder="1" applyAlignment="1">
      <x:alignment vertical="center" wrapText="1"/>
    </x:xf>
    <x:xf numFmtId="200" fontId="0" fillId="0" borderId="18" xfId="0" applyNumberFormat="1" applyFont="1" applyFill="1" applyBorder="1" applyAlignment="1">
      <x:alignment vertical="center" wrapText="1"/>
    </x:xf>
    <x:xf numFmtId="202" fontId="0" fillId="0" borderId="3" xfId="0" applyNumberFormat="1" applyFont="1" applyFill="1" applyBorder="1" applyAlignment="1">
      <x:alignment vertical="center" wrapText="1"/>
    </x:xf>
    <x:xf numFmtId="202" fontId="0" fillId="0" borderId="6" xfId="0" applyNumberFormat="1" applyFont="1" applyFill="1" applyBorder="1" applyAlignment="1">
      <x:alignment vertical="center" wrapText="1"/>
    </x:xf>
    <x:xf numFmtId="202" fontId="0" fillId="0" borderId="9" xfId="0" applyNumberFormat="1" applyFont="1" applyFill="1" applyBorder="1" applyAlignment="1">
      <x:alignment vertical="center" wrapText="1"/>
    </x:xf>
    <x:xf numFmtId="202" fontId="0" fillId="0" borderId="12" xfId="0" applyNumberFormat="1" applyFont="1" applyFill="1" applyBorder="1" applyAlignment="1">
      <x:alignment vertical="center" wrapText="1"/>
    </x:xf>
    <x:xf numFmtId="202" fontId="0" fillId="0" borderId="15" xfId="0" applyNumberFormat="1" applyFont="1" applyFill="1" applyBorder="1" applyAlignment="1">
      <x:alignment vertical="center" wrapText="1"/>
    </x:xf>
    <x:xf numFmtId="202" fontId="0" fillId="0" borderId="18" xfId="0" applyNumberFormat="1" applyFont="1" applyFill="1" applyBorder="1" applyAlignment="1">
      <x:alignment vertical="center" wrapText="1"/>
    </x:xf>
    <x:xf numFmtId="0" fontId="0" fillId="7" borderId="3" xfId="0" applyNumberFormat="1" applyFont="1" applyFill="1" applyBorder="1" applyAlignment="1">
      <x:alignment vertical="center" wrapText="1"/>
    </x:xf>
    <x:xf numFmtId="0" fontId="0" fillId="7" borderId="6" xfId="0" applyNumberFormat="1" applyFont="1" applyFill="1" applyBorder="1" applyAlignment="1">
      <x:alignment vertical="center" wrapText="1"/>
    </x:xf>
    <x:xf numFmtId="0" fontId="6" fillId="7" borderId="3" xfId="0" applyNumberFormat="1" applyFont="1" applyFill="1" applyBorder="1" applyAlignment="1">
      <x:alignment vertical="center" wrapText="1"/>
    </x:xf>
    <x:xf numFmtId="0" fontId="6" fillId="7" borderId="6" xfId="0" applyNumberFormat="1" applyFont="1" applyFill="1" applyBorder="1" applyAlignment="1">
      <x:alignment vertical="center" wrapText="1"/>
    </x:xf>
    <x:xf numFmtId="0" fontId="6" fillId="7" borderId="3" xfId="0" applyNumberFormat="1" applyFont="1" applyFill="1" applyBorder="1" applyAlignment="1">
      <x:alignment horizontal="center" vertical="center" wrapText="1"/>
    </x:xf>
    <x:xf numFmtId="0" fontId="6" fillId="7" borderId="6" xfId="0" applyNumberFormat="1" applyFont="1" applyFill="1" applyBorder="1" applyAlignment="1">
      <x:alignment horizontal="center" vertical="center" wrapText="1"/>
    </x:xf>
    <x:xf numFmtId="0" fontId="0" fillId="7" borderId="12" xfId="0" applyNumberFormat="1" applyFont="1" applyFill="1" applyBorder="1" applyAlignment="1">
      <x:alignment vertical="center" wrapText="1"/>
    </x:xf>
    <x:xf numFmtId="0" fontId="0" fillId="7" borderId="15" xfId="0" applyNumberFormat="1" applyFont="1" applyFill="1" applyBorder="1" applyAlignment="1">
      <x:alignment vertical="center" wrapText="1"/>
    </x:xf>
    <x:xf numFmtId="0" fontId="6" fillId="7" borderId="1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6" fillId="7" borderId="1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8" borderId="9" xfId="0" applyNumberFormat="1" applyFont="1" applyFill="1" applyBorder="1" applyAlignment="1">
      <x:alignment vertical="center" wrapText="1"/>
    </x:xf>
    <x:xf numFmtId="0" fontId="7" fillId="8" borderId="9" xfId="0" applyNumberFormat="1" applyFont="1" applyFill="1" applyBorder="1" applyAlignment="1">
      <x:alignment vertical="center" wrapText="1"/>
    </x:xf>
    <x:xf numFmtId="0" fontId="7" fillId="8" borderId="9" xfId="0" applyNumberFormat="1" applyFont="1" applyFill="1" applyBorder="1" applyAlignment="1">
      <x:alignment horizontal="center" vertical="center" wrapText="1"/>
    </x:xf>
    <x:xf numFmtId="0" fontId="0" fillId="8" borderId="18" xfId="0" applyNumberFormat="1" applyFont="1" applyFill="1" applyBorder="1" applyAlignment="1">
      <x:alignment vertical="center" wrapText="1"/>
    </x:xf>
    <x:xf numFmtId="0" fontId="7" fillId="8" borderId="18" xfId="0" applyNumberFormat="1" applyFont="1" applyFill="1" applyBorder="1" applyAlignment="1">
      <x:alignment vertical="center" wrapText="1"/>
    </x:xf>
    <x:xf numFmtId="0" fontId="7" fillId="8" borderId="18"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1" xfId="0" applyNumberFormat="1" applyFont="1" applyFill="1" applyBorder="1"/>
    <x:xf numFmtId="0" fontId="3" fillId="2" borderId="1" xfId="0" applyNumberFormat="1" applyFont="1" applyFill="1" applyBorder="1" applyAlignment="1">
      <x:alignment horizontal="left"/>
    </x:xf>
    <x:xf numFmtId="203" fontId="0" fillId="0" borderId="0" xfId="0" applyNumberFormat="1" applyFont="1" applyFill="1" applyBorder="1"/>
    <x:xf numFmtId="203" fontId="0" fillId="0" borderId="1" xfId="0" applyNumberFormat="1" applyFont="1" applyFill="1" applyBorder="1"/>
    <x:xf numFmtId="203" fontId="0" fillId="0" borderId="2" xfId="0" applyNumberFormat="1" applyFont="1" applyFill="1" applyBorder="1"/>
    <x:xf numFmtId="202" fontId="0" fillId="0" borderId="4" xfId="0" applyNumberFormat="1" applyFont="1" applyFill="1" applyBorder="1"/>
    <x:xf numFmtId="203" fontId="0" fillId="0" borderId="5" xfId="0" applyNumberFormat="1" applyFont="1" applyFill="1" applyBorder="1"/>
    <x:xf numFmtId="202" fontId="0" fillId="0" borderId="7" xfId="0" applyNumberFormat="1" applyFont="1" applyFill="1" applyBorder="1"/>
    <x:xf numFmtId="203" fontId="0" fillId="0" borderId="8" xfId="0" applyNumberFormat="1" applyFont="1" applyFill="1" applyBorder="1"/>
    <x:xf numFmtId="202" fontId="0" fillId="0" borderId="9" xfId="0" applyNumberFormat="1" applyFont="1" applyFill="1" applyBorder="1"/>
    <x:xf numFmtId="202" fontId="0" fillId="0" borderId="10" xfId="0" applyNumberFormat="1" applyFont="1" applyFill="1" applyBorder="1"/>
    <x:xf numFmtId="203" fontId="0" fillId="0" borderId="2" xfId="0" applyNumberFormat="1" applyFont="1" applyFill="1" applyBorder="1" applyAlignment="1">
      <x:alignment horizontal="right"/>
    </x:xf>
    <x:xf numFmtId="202" fontId="0" fillId="0" borderId="3" xfId="0" applyNumberFormat="1" applyFont="1" applyFill="1" applyBorder="1" applyAlignment="1">
      <x:alignment horizontal="right"/>
    </x:xf>
    <x:xf numFmtId="202" fontId="0" fillId="0" borderId="4" xfId="0" applyNumberFormat="1" applyFont="1" applyFill="1" applyBorder="1" applyAlignment="1">
      <x:alignment horizontal="right"/>
    </x:xf>
    <x:xf numFmtId="203" fontId="0" fillId="0" borderId="5" xfId="0" applyNumberFormat="1" applyFont="1" applyFill="1" applyBorder="1" applyAlignment="1">
      <x:alignment horizontal="right"/>
    </x:xf>
    <x:xf numFmtId="202" fontId="0" fillId="0" borderId="6" xfId="0" applyNumberFormat="1" applyFont="1" applyFill="1" applyBorder="1" applyAlignment="1">
      <x:alignment horizontal="right"/>
    </x:xf>
    <x:xf numFmtId="202" fontId="0" fillId="0" borderId="7" xfId="0" applyNumberFormat="1" applyFont="1" applyFill="1" applyBorder="1" applyAlignment="1">
      <x:alignment horizontal="right"/>
    </x:xf>
    <x:xf numFmtId="203" fontId="0" fillId="0" borderId="8" xfId="0" applyNumberFormat="1" applyFont="1" applyFill="1" applyBorder="1" applyAlignment="1">
      <x:alignment horizontal="right"/>
    </x:xf>
    <x:xf numFmtId="202" fontId="0" fillId="0" borderId="9" xfId="0" applyNumberFormat="1" applyFont="1" applyFill="1" applyBorder="1" applyAlignment="1">
      <x:alignment horizontal="right"/>
    </x:xf>
    <x:xf numFmtId="202" fontId="0" fillId="0" borderId="10" xfId="0" applyNumberFormat="1" applyFont="1" applyFill="1" applyBorder="1" applyAlignment="1">
      <x:alignment horizontal="right"/>
    </x:xf>
    <x:xf numFmtId="203" fontId="0" fillId="0" borderId="11" xfId="0" applyNumberFormat="1" applyFont="1" applyFill="1" applyBorder="1"/>
    <x:xf numFmtId="202" fontId="0" fillId="0" borderId="13" xfId="0" applyNumberFormat="1" applyFont="1" applyFill="1" applyBorder="1"/>
    <x:xf numFmtId="203" fontId="0" fillId="0" borderId="14" xfId="0" applyNumberFormat="1" applyFont="1" applyFill="1" applyBorder="1"/>
    <x:xf numFmtId="202" fontId="0" fillId="0" borderId="16" xfId="0" applyNumberFormat="1" applyFont="1" applyFill="1" applyBorder="1"/>
    <x:xf numFmtId="203" fontId="0" fillId="0" borderId="17" xfId="0" applyNumberFormat="1" applyFont="1" applyFill="1" applyBorder="1"/>
    <x:xf numFmtId="202" fontId="0" fillId="0" borderId="18" xfId="0" applyNumberFormat="1" applyFont="1" applyFill="1" applyBorder="1"/>
    <x:xf numFmtId="202" fontId="0" fillId="0" borderId="19" xfId="0" applyNumberFormat="1" applyFont="1" applyFill="1" applyBorder="1"/>
    <x:xf numFmtId="203" fontId="0" fillId="0" borderId="11" xfId="0" applyNumberFormat="1" applyFont="1" applyFill="1" applyBorder="1" applyAlignment="1">
      <x:alignment horizontal="right"/>
    </x:xf>
    <x:xf numFmtId="202" fontId="0" fillId="0" borderId="12" xfId="0" applyNumberFormat="1" applyFont="1" applyFill="1" applyBorder="1" applyAlignment="1">
      <x:alignment horizontal="right"/>
    </x:xf>
    <x:xf numFmtId="202" fontId="0" fillId="0" borderId="13" xfId="0" applyNumberFormat="1" applyFont="1" applyFill="1" applyBorder="1" applyAlignment="1">
      <x:alignment horizontal="right"/>
    </x:xf>
    <x:xf numFmtId="203" fontId="0" fillId="0" borderId="14" xfId="0" applyNumberFormat="1" applyFont="1" applyFill="1" applyBorder="1" applyAlignment="1">
      <x:alignment horizontal="right"/>
    </x:xf>
    <x:xf numFmtId="202" fontId="0" fillId="0" borderId="15" xfId="0" applyNumberFormat="1" applyFont="1" applyFill="1" applyBorder="1" applyAlignment="1">
      <x:alignment horizontal="right"/>
    </x:xf>
    <x:xf numFmtId="202" fontId="0" fillId="0" borderId="16" xfId="0" applyNumberFormat="1" applyFont="1" applyFill="1" applyBorder="1" applyAlignment="1">
      <x:alignment horizontal="right"/>
    </x:xf>
    <x:xf numFmtId="203" fontId="0" fillId="0" borderId="17" xfId="0" applyNumberFormat="1" applyFont="1" applyFill="1" applyBorder="1" applyAlignment="1">
      <x:alignment horizontal="right"/>
    </x:xf>
    <x:xf numFmtId="202" fontId="0" fillId="0" borderId="18" xfId="0" applyNumberFormat="1" applyFont="1" applyFill="1" applyBorder="1" applyAlignment="1">
      <x:alignment horizontal="right"/>
    </x:xf>
    <x:xf numFmtId="202" fontId="0" fillId="0" borderId="19" xfId="0" applyNumberFormat="1" applyFont="1" applyFill="1" applyBorder="1" applyAlignment="1">
      <x:alignment horizontal="right"/>
    </x:xf>
    <x:xf numFmtId="204" fontId="0" fillId="0" borderId="4" xfId="0" applyNumberFormat="1" applyFont="1" applyFill="1" applyBorder="1" applyAlignment="1">
      <x:alignment vertical="center" wrapText="1"/>
    </x:xf>
    <x:xf numFmtId="204" fontId="0" fillId="0" borderId="13" xfId="0" applyNumberFormat="1" applyFont="1" applyFill="1" applyBorder="1" applyAlignment="1">
      <x:alignment vertical="center" wrapText="1"/>
    </x:xf>
    <x:xf numFmtId="202" fontId="0" fillId="0" borderId="7" xfId="0" applyNumberFormat="1" applyFont="1" applyFill="1" applyBorder="1" applyAlignment="1">
      <x:alignment vertical="center" wrapText="1"/>
    </x:xf>
    <x:xf numFmtId="202" fontId="0" fillId="0" borderId="16" xfId="0" applyNumberFormat="1" applyFont="1" applyFill="1" applyBorder="1" applyAlignment="1">
      <x:alignment vertical="center" wrapText="1"/>
    </x:xf>
    <x:xf numFmtId="200" fontId="0" fillId="0" borderId="7" xfId="0" applyNumberFormat="1" applyFont="1" applyFill="1" applyBorder="1" applyAlignment="1">
      <x:alignment vertical="center" wrapText="1"/>
    </x:xf>
    <x:xf numFmtId="200" fontId="0" fillId="0" borderId="16" xfId="0" applyNumberFormat="1" applyFont="1" applyFill="1" applyBorder="1" applyAlignment="1">
      <x:alignment vertical="center" wrapText="1"/>
    </x:xf>
    <x:xf numFmtId="202" fontId="0" fillId="0" borderId="10" xfId="0" applyNumberFormat="1" applyFont="1" applyFill="1" applyBorder="1" applyAlignment="1">
      <x:alignment vertical="center" wrapText="1"/>
    </x:xf>
    <x:xf numFmtId="202" fontId="0" fillId="0" borderId="19" xfId="0" applyNumberFormat="1" applyFont="1" applyFill="1" applyBorder="1" applyAlignment="1">
      <x:alignment vertical="center" wrapText="1"/>
    </x:xf>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vertical="top" wrapText="1"/>
    </x:xf>
    <x:xf numFmtId="0" fontId="8" fillId="3" borderId="1" xfId="0" applyNumberFormat="1" applyFont="1" applyFill="1" applyBorder="1"/>
    <x:xf numFmtId="0" fontId="8" fillId="3" borderId="1" xfId="0" applyNumberFormat="1" applyFont="1" applyFill="1" applyBorder="1" applyAlignment="1">
      <x:alignment wrapText="1"/>
    </x:xf>
    <x:xf numFmtId="0" fontId="8" fillId="3" borderId="1" xfId="0" applyNumberFormat="1" applyFont="1" applyFill="1" applyBorder="1" applyAlignment="1">
      <x:alignment vertical="top" wrapText="1"/>
    </x:xf>
    <x:xf numFmtId="202" fontId="4" fillId="6" borderId="3" xfId="0" applyNumberFormat="1" applyFont="1" applyFill="1" applyBorder="1" applyAlignment="1">
      <x:alignment horizontal="right" vertical="center"/>
    </x:xf>
    <x:xf numFmtId="202" fontId="4" fillId="6" borderId="12" xfId="0" applyNumberFormat="1" applyFont="1" applyFill="1" applyBorder="1" applyAlignment="1">
      <x:alignment horizontal="right" vertical="center"/>
    </x:xf>
    <x:xf numFmtId="0" fontId="0" fillId="0" borderId="0" xfId="0" applyNumberFormat="1" applyFont="1" applyFill="1" applyBorder="1" applyAlignment="1">
      <x:alignment wrapText="1"/>
    </x:xf>
  </x:cellXfs>
  <x:cellStyles count="1">
    <x:cellStyle name="Normal" xfId="0"/>
  </x:cellStyles>
  <x:dxfs count="1">
    <x:dxf>
      <x:font>
        <x:color rgb="9C0006"/>
      </x:font>
      <x:fill>
        <x:patternFill patternType="solid">
          <x:bgColor rgb="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236805b17744fd" /><Relationship Type="http://schemas.openxmlformats.org/officeDocument/2006/relationships/theme" Target="/xl/theme/theme1.xml" Id="R160ca3b48e104bb6" /><Relationship Type="http://schemas.openxmlformats.org/officeDocument/2006/relationships/sharedStrings" Target="/xl/sharedStrings.xml" Id="Rf9d042fd48c342cd" /><Relationship Type="http://schemas.openxmlformats.org/officeDocument/2006/relationships/worksheet" Target="/xl/worksheets/sheet1.xml" Id="R13bc443e78624ebd" /></Relationships>
</file>

<file path=xl/drawings/_rels/drawing1.xml.rels>&#65279;<?xml version="1.0" encoding="utf-8"?><Relationships xmlns="http://schemas.openxmlformats.org/package/2006/relationships"><Relationship Type="http://schemas.openxmlformats.org/officeDocument/2006/relationships/chart" Target="/xl/drawings/charts/chart1.xml" Id="R51ca96af5a3048d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Pagos de notas estructuradas según retorno del IPC</a:t>
            </a:r>
          </a:p>
        </c:rich>
      </c:tx>
      <c:overlay val="0"/>
    </c:title>
    <c:autoTitleDeleted val="0"/>
    <c:plotArea>
      <c:layout/>
      <c:lineChart>
        <c:ser>
          <c:idx val="0"/>
          <c:order val="0"/>
          <c:tx>
            <c:v>Nota i: call parcial</c:v>
          </c:tx>
          <c:cat>
            <c:strRef>
              <c:f>'Notas IPC'!$A$25:$A$33</c:f>
              <c:strCache>
                <c:ptCount val="0"/>
              </c:strCache>
            </c:strRef>
          </c:cat>
          <c:val>
            <c:numRef>
              <c:f>'Notas IPC'!$B$25:$B$33</c:f>
              <c:numCache>
                <c:formatCode>$#,##0.00;[Red]($#,##0.00);-</c:formatCode>
                <c:ptCount val="0"/>
              </c:numCache>
            </c:numRef>
          </c:val>
          <c:smooth val="0"/>
        </c:ser>
        <c:ser>
          <c:idx val="1"/>
          <c:order val="1"/>
          <c:tx>
            <c:v>Nota ii: put parcial</c:v>
          </c:tx>
          <c:cat>
            <c:strRef>
              <c:f>'Notas IPC'!$A$25:$A$33</c:f>
              <c:strCache>
                <c:ptCount val="0"/>
              </c:strCache>
            </c:strRef>
          </c:cat>
          <c:val>
            <c:numRef>
              <c:f>'Notas IPC'!$C$25:$C$33</c:f>
              <c:numCache>
                <c:formatCode>$#,##0.00;[Red]($#,##0.00);-</c:formatCode>
                <c:ptCount val="0"/>
              </c:numCache>
            </c:numRef>
          </c:val>
          <c:smooth val="0"/>
        </c:ser>
        <c:ser>
          <c:idx val="2"/>
          <c:order val="2"/>
          <c:tx>
            <c:v>Nota iii: call potenciado - short put</c:v>
          </c:tx>
          <c:cat>
            <c:strRef>
              <c:f>'Notas IPC'!$A$25:$A$33</c:f>
              <c:strCache>
                <c:ptCount val="0"/>
              </c:strCache>
            </c:strRef>
          </c:cat>
          <c:val>
            <c:numRef>
              <c:f>'Notas IPC'!$D$25:$D$33</c:f>
              <c:numCache>
                <c:formatCode>$#,##0.00;[Red]($#,##0.00);-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22</xdr:row>
      <xdr:rowOff>0</xdr:rowOff>
    </xdr:from>
    <xdr:to>
      <xdr:col>12</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1ca96af5a3048df"/>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e301e98e596422b" /></Relationships>
</file>

<file path=xl/worksheets/sheet1.xml><?xml version="1.0" encoding="utf-8"?>
<x:worksheet xmlns:x="http://schemas.openxmlformats.org/spreadsheetml/2006/main">
  <x:sheetFormatPr defaultRowHeight="15"/>
  <x:cols>
    <x:col min="1" max="1" width="14" hidden="0" customWidth="1"/>
    <x:col min="2" max="2" width="32" hidden="0" customWidth="1"/>
    <x:col min="3" max="3" width="34" hidden="0" customWidth="1"/>
    <x:col min="4" max="4" width="20" hidden="0" customWidth="1"/>
    <x:col min="5" max="5" width="20" hidden="0" customWidth="1"/>
    <x:col min="6" max="6" width="18" hidden="0" customWidth="1"/>
    <x:col min="7" max="7" width="18" hidden="0" customWidth="1"/>
    <x:col min="8" max="8" width="18" hidden="0" customWidth="1"/>
    <x:col min="9" max="9" width="34" hidden="0" customWidth="1"/>
    <x:col min="10" max="10" width="16" hidden="0" customWidth="1"/>
    <x:col min="11" max="11" width="17" hidden="0" customWidth="1"/>
    <x:col min="12" max="12" width="30" hidden="0" customWidth="1"/>
  </x:cols>
  <x:sheetData>
    <x:row r="1" ht="19.200000762939453" hidden="0" customHeight="1">
      <x:c r="A1" s="5" t="str">
        <x:v>Notas estructuradas con exposición al IPC</x:v>
      </x:c>
    </x:row>
    <x:row r="2" ht="15" hidden="0" customHeight="1">
      <x:c r="A2" s="13" t="str">
        <x:v>Estructuración: bono cupón cero + opciones ATM sobre IPC. Supuesto: capitalización continua, conforme al Anexo I.</x:v>
      </x:c>
    </x:row>
    <x:row r="3"/>
    <x:row r="4" ht="15" hidden="0" customHeight="1">
      <x:c r="A4" s="21" t="str">
        <x:v>Inputs editables</x:v>
      </x:c>
      <x:c r="G4" s="20" t="str">
        <x:v>Presupuesto de estructuración</x:v>
      </x:c>
    </x:row>
    <x:row r="5" ht="15" hidden="0" customHeight="1">
      <x:c r="A5" s="29" t="str">
        <x:v>Dato</x:v>
      </x:c>
      <x:c r="B5" s="29" t="str">
        <x:v>Símbolo</x:v>
      </x:c>
      <x:c r="C5" s="29" t="str">
        <x:v>Valor</x:v>
      </x:c>
      <x:c r="D5" s="29" t="str">
        <x:v>Unidad</x:v>
      </x:c>
      <x:c r="E5" s="29" t="str">
        <x:v>Fuente / nota</x:v>
      </x:c>
      <x:c r="G5" s="29" t="str">
        <x:v>Concepto</x:v>
      </x:c>
      <x:c r="H5" s="29" t="str">
        <x:v>Fórmula matemática</x:v>
      </x:c>
      <x:c r="I5" s="29" t="str">
        <x:v>Fórmula Excel</x:v>
      </x:c>
      <x:c r="J5" s="29" t="str">
        <x:v>Resultado</x:v>
      </x:c>
      <x:c r="K5" s="29" t="str">
        <x:v>Unidad</x:v>
      </x:c>
      <x:c r="L5" s="29" t="str">
        <x:v>Interpretación</x:v>
      </x:c>
    </x:row>
    <x:row r="6" ht="39.599998474121094" hidden="0" customHeight="1">
      <x:c r="A6" s="57" t="str">
        <x:v>Nocional</x:v>
      </x:c>
      <x:c r="B6" s="58" t="str">
        <x:v>N</x:v>
      </x:c>
      <x:c r="C6" s="240" t="n">
        <x:v>100</x:v>
      </x:c>
      <x:c r="D6" s="58" t="str">
        <x:v>moneda base</x:v>
      </x:c>
      <x:c r="E6" s="96" t="str">
        <x:v>Supuesto de modelación: nocional 100</x:v>
      </x:c>
      <x:c r="G6" s="57" t="str">
        <x:v>Factor de descuento</x:v>
      </x:c>
      <x:c r="H6" s="118" t="str">
        <x:v>DF = e^{-rT}</x:v>
      </x:c>
      <x:c r="I6" s="118" t="str">
        <x:v>=EXP(-C8*C7)</x:v>
      </x:c>
      <x:c r="J6" s="109" t="n">
        <x:f>EXP(-C8*C7)</x:f>
        <x:v>0.8607079764250578</x:v>
      </x:c>
      <x:c r="K6" s="58" t="str">
        <x:v>factor</x:v>
      </x:c>
      <x:c r="L6" s="96" t="str">
        <x:v>PV de $1 pagadero al vencimiento</x:v>
      </x:c>
    </x:row>
    <x:row r="7" ht="26.399999618530273" hidden="0" customHeight="1">
      <x:c r="A7" s="61" t="str">
        <x:v>Plazo</x:v>
      </x:c>
      <x:c r="B7" s="62" t="str">
        <x:v>T</x:v>
      </x:c>
      <x:c r="C7" s="63" t="n">
        <x:v>3</x:v>
      </x:c>
      <x:c r="D7" s="62" t="str">
        <x:v>años</x:v>
      </x:c>
      <x:c r="E7" s="97" t="str">
        <x:v>Enunciado</x:v>
      </x:c>
      <x:c r="G7" s="61" t="str">
        <x:v>PV bono cupón cero</x:v>
      </x:c>
      <x:c r="H7" s="119" t="str">
        <x:v>PV_Bono = N·DF</x:v>
      </x:c>
      <x:c r="I7" s="119" t="str">
        <x:v>=C6*J6</x:v>
      </x:c>
      <x:c r="J7" s="110" t="n">
        <x:f>C6*J6</x:f>
        <x:v>86.07079764250578</x:v>
      </x:c>
      <x:c r="K7" s="62" t="str">
        <x:v>moneda</x:v>
      </x:c>
      <x:c r="L7" s="97" t="str">
        <x:v>Monto invertido hoy para garantizar N al vencimiento</x:v>
      </x:c>
    </x:row>
    <x:row r="8" ht="39.599998474121094" hidden="0" customHeight="1">
      <x:c r="A8" s="61" t="str">
        <x:v>Tasa a 3 años</x:v>
      </x:c>
      <x:c r="B8" s="62" t="str">
        <x:v>r</x:v>
      </x:c>
      <x:c r="C8" s="65" t="n">
        <x:v>0.05</x:v>
      </x:c>
      <x:c r="D8" s="62" t="str">
        <x:v>% anual c.c.</x:v>
      </x:c>
      <x:c r="E8" s="97" t="str">
        <x:v>Enunciado; descuento continuo como en Anexo I</x:v>
      </x:c>
      <x:c r="G8" s="61" t="str">
        <x:v>Presupuesto opciones</x:v>
      </x:c>
      <x:c r="H8" s="119" t="str">
        <x:v>Budget = N - PV_Bono</x:v>
      </x:c>
      <x:c r="I8" s="119" t="str">
        <x:v>=C6-J7</x:v>
      </x:c>
      <x:c r="J8" s="110" t="n">
        <x:f>C6-J7</x:f>
        <x:v>13.92920235749422</x:v>
      </x:c>
      <x:c r="K8" s="62" t="str">
        <x:v>moneda</x:v>
      </x:c>
      <x:c r="L8" s="97" t="str">
        <x:v>Capital disponible para comprar opciones</x:v>
      </x:c>
    </x:row>
    <x:row r="9" ht="26.399999618530273" hidden="0" customHeight="1">
      <x:c r="A9" s="61" t="str">
        <x:v>Costo call ATM 3 años</x:v>
      </x:c>
      <x:c r="B9" s="62" t="str">
        <x:v>C_ATM</x:v>
      </x:c>
      <x:c r="C9" s="65" t="n">
        <x:v>0.2</x:v>
      </x:c>
      <x:c r="D9" s="62" t="str">
        <x:v>% del nocional</x:v>
      </x:c>
      <x:c r="E9" s="97" t="str">
        <x:v>Enunciado</x:v>
      </x:c>
      <x:c r="G9" s="66" t="str">
        <x:v>Presupuesto opciones (%)</x:v>
      </x:c>
      <x:c r="H9" s="120" t="str">
        <x:v>Budget% = Budget/N</x:v>
      </x:c>
      <x:c r="I9" s="120" t="str">
        <x:v>=J8/C6</x:v>
      </x:c>
      <x:c r="J9" s="111" t="n">
        <x:f>J8/C6</x:f>
        <x:v>0.1392920235749422</x:v>
      </x:c>
      <x:c r="K9" s="67" t="str">
        <x:v>% nocional</x:v>
      </x:c>
      <x:c r="L9" s="98" t="str">
        <x:v>Porcentaje de nocional utilizable en derivados</x:v>
      </x:c>
    </x:row>
    <x:row r="10" ht="15" hidden="0" customHeight="1">
      <x:c r="A10" s="61" t="str">
        <x:v>Costo put ATM 3 años</x:v>
      </x:c>
      <x:c r="B10" s="62" t="str">
        <x:v>P_ATM</x:v>
      </x:c>
      <x:c r="C10" s="65" t="n">
        <x:v>0.18</x:v>
      </x:c>
      <x:c r="D10" s="62" t="str">
        <x:v>% del nocional</x:v>
      </x:c>
      <x:c r="E10" s="97" t="str">
        <x:v>Enunciado</x:v>
      </x:c>
    </x:row>
    <x:row r="11" ht="15" hidden="0" customHeight="1">
      <x:c r="A11" s="61" t="str">
        <x:v>Exposición baja nota iii</x:v>
      </x:c>
      <x:c r="B11" s="62" t="str">
        <x:v>δ</x:v>
      </x:c>
      <x:c r="C11" s="65" t="n">
        <x:v>0.25</x:v>
      </x:c>
      <x:c r="D11" s="62" t="str">
        <x:v>% de caída IPC</x:v>
      </x:c>
      <x:c r="E11" s="97" t="str">
        <x:v>Enunciado</x:v>
      </x:c>
    </x:row>
    <x:row r="12" ht="26.399999618530273" hidden="0" customHeight="1">
      <x:c r="A12" s="66" t="str">
        <x:v>Retorno IPC para ejemplo</x:v>
      </x:c>
      <x:c r="B12" s="67" t="str">
        <x:v>R_IPC</x:v>
      </x:c>
      <x:c r="C12" s="68" t="n">
        <x:v>0.1</x:v>
      </x:c>
      <x:c r="D12" s="67" t="str">
        <x:v>%</x:v>
      </x:c>
      <x:c r="E12" s="98" t="str">
        <x:v>Editable para ver pago puntual</x:v>
      </x:c>
    </x:row>
    <x:row r="13"/>
    <x:row r="14"/>
    <x:row r="15" ht="15" hidden="0" customHeight="1">
      <x:c r="A15" s="125" t="str">
        <x:v>Tres notas estructuradas solicitadas</x:v>
      </x:c>
    </x:row>
    <x:row r="16" ht="26.399999618530273" hidden="0" customHeight="1">
      <x:c r="A16" s="130" t="str">
        <x:v>Nota</x:v>
      </x:c>
      <x:c r="B16" s="130" t="str">
        <x:v>Objetivo</x:v>
      </x:c>
      <x:c r="C16" s="130" t="str">
        <x:v>Instrumentos</x:v>
      </x:c>
      <x:c r="D16" s="130" t="str">
        <x:v>Participación subida α/γ</x:v>
      </x:c>
      <x:c r="E16" s="130" t="str">
        <x:v>Exposición bajada β/δ</x:v>
      </x:c>
      <x:c r="F16" s="130" t="str">
        <x:v>Prima call comprada</x:v>
      </x:c>
      <x:c r="G16" s="130" t="str">
        <x:v>Prima put comprada / recibida</x:v>
      </x:c>
      <x:c r="H16" s="130" t="str">
        <x:v>Costo neto opciones</x:v>
      </x:c>
      <x:c r="I16" s="130" t="str">
        <x:v>Payoff algebraico</x:v>
      </x:c>
      <x:c r="J16" s="130" t="str">
        <x:v>Pago ejemplo</x:v>
      </x:c>
      <x:c r="K16" s="130" t="str">
        <x:v>Capital 100% protegido</x:v>
      </x:c>
      <x:c r="L16" s="130" t="str">
        <x:v>Relación de financiamiento</x:v>
      </x:c>
    </x:row>
    <x:row r="17" ht="26.399999618530273" hidden="0" customHeight="1">
      <x:c r="A17" s="143" t="str">
        <x:v>i</x:v>
      </x:c>
      <x:c r="B17" s="118" t="str">
        <x:v>Capital protegido 100% + ganancia proporcional a la subida</x:v>
      </x:c>
      <x:c r="C17" s="118" t="str">
        <x:v>Bono cupón cero + long call ATM parcial</x:v>
      </x:c>
      <x:c r="D17" s="158" t="n">
        <x:f>$J$9/$C$9</x:f>
        <x:v>0.696460117874711</x:v>
      </x:c>
      <x:c r="E17" s="158" t="n">
        <x:v>0</x:v>
      </x:c>
      <x:c r="F17" s="158" t="n">
        <x:f>D17*$C$9</x:f>
        <x:v>0.1392920235749422</x:v>
      </x:c>
      <x:c r="G17" s="158" t="n">
        <x:v>0</x:v>
      </x:c>
      <x:c r="H17" s="158" t="n">
        <x:f>F17+G17</x:f>
        <x:v>0.1392920235749422</x:v>
      </x:c>
      <x:c r="I17" s="118" t="str">
        <x:v>100% + α·max(R_IPC,0)</x:v>
      </x:c>
      <x:c r="J17" s="164" t="n">
        <x:f>$C$6*(1+D17*MAX($C$12,0))</x:f>
        <x:v>106.9646011787471</x:v>
      </x:c>
      <x:c r="K17" s="174" t="str">
        <x:v>Sí</x:v>
      </x:c>
      <x:c r="L17" s="96" t="str">
        <x:v>α = Budget% / C_ATM</x:v>
      </x:c>
    </x:row>
    <x:row r="18" ht="26.399999618530273" hidden="0" customHeight="1">
      <x:c r="A18" s="144" t="str">
        <x:v>ii</x:v>
      </x:c>
      <x:c r="B18" s="119" t="str">
        <x:v>Capital protegido 100% + ganancia proporcional a la bajada</x:v>
      </x:c>
      <x:c r="C18" s="119" t="str">
        <x:v>Bono cupón cero + long put ATM parcial</x:v>
      </x:c>
      <x:c r="D18" s="159" t="n">
        <x:v>0</x:v>
      </x:c>
      <x:c r="E18" s="159" t="n">
        <x:f>$J$9/$C$10</x:f>
        <x:v>0.7738445754163455</x:v>
      </x:c>
      <x:c r="F18" s="159" t="n">
        <x:v>0</x:v>
      </x:c>
      <x:c r="G18" s="159" t="n">
        <x:f>E18*$C$10</x:f>
        <x:v>0.1392920235749422</x:v>
      </x:c>
      <x:c r="H18" s="159" t="n">
        <x:f>F18+G18</x:f>
        <x:v>0.1392920235749422</x:v>
      </x:c>
      <x:c r="I18" s="119" t="str">
        <x:v>100% + β·max(-R_IPC,0)</x:v>
      </x:c>
      <x:c r="J18" s="165" t="n">
        <x:f>$C$6*(1+E18*MAX(-$C$12,0))</x:f>
        <x:v>100</x:v>
      </x:c>
      <x:c r="K18" s="175" t="str">
        <x:v>Sí</x:v>
      </x:c>
      <x:c r="L18" s="97" t="str">
        <x:v>β = Budget% / P_ATM; se compra put</x:v>
      </x:c>
    </x:row>
    <x:row r="19" ht="26.399999618530273" hidden="0" customHeight="1">
      <x:c r="A19" s="145" t="str">
        <x:v>iii</x:v>
      </x:c>
      <x:c r="B19" s="120" t="str">
        <x:v>Exposición al 25% de baja y potenciación de ganancia</x:v>
      </x:c>
      <x:c r="C19" s="120" t="str">
        <x:v>Bono cupón cero + long call parcial + short 25% put ATM</x:v>
      </x:c>
      <x:c r="D19" s="160" t="n">
        <x:f>($J$9+$C$11*$C$10)/$C$9</x:f>
        <x:v>0.9214601178747108</x:v>
      </x:c>
      <x:c r="E19" s="160" t="n">
        <x:f>$C$11</x:f>
        <x:v>0.25</x:v>
      </x:c>
      <x:c r="F19" s="160" t="n">
        <x:f>D19*$C$9</x:f>
        <x:v>0.18429202357494218</x:v>
      </x:c>
      <x:c r="G19" s="160" t="n">
        <x:f>E19*$C$10</x:f>
        <x:v>0.045</x:v>
      </x:c>
      <x:c r="H19" s="160" t="n">
        <x:f>F19-G19</x:f>
        <x:v>0.1392920235749422</x:v>
      </x:c>
      <x:c r="I19" s="120" t="str">
        <x:v>100% + γ·max(R_IPC,0) - δ·max(-R_IPC,0)</x:v>
      </x:c>
      <x:c r="J19" s="166" t="n">
        <x:f>$C$6*(1+D19*MAX($C$12,0)-E19*MAX(-$C$12,0))</x:f>
        <x:v>109.2146011787471</x:v>
      </x:c>
      <x:c r="K19" s="184" t="str">
        <x:v>No</x:v>
      </x:c>
      <x:c r="L19" s="98" t="str">
        <x:v>γ = (Budget% + δ·P_ATM) / C_ATM; se vende put</x:v>
      </x:c>
    </x:row>
    <x:row r="20"/>
    <x:row r="21"/>
    <x:row r="22"/>
    <x:row r="23" ht="15" hidden="0" customHeight="1">
      <x:c r="A23" s="189" t="str">
        <x:v>Tabla de escenarios: pago al vencimiento por retorno del IPC</x:v>
      </x:c>
    </x:row>
    <x:row r="24" ht="26.399999618530273" hidden="0" customHeight="1">
      <x:c r="A24" s="130" t="str">
        <x:v>R_IPC</x:v>
      </x:c>
      <x:c r="B24" s="130" t="str">
        <x:v>Nota i: call parcial</x:v>
      </x:c>
      <x:c r="C24" s="130" t="str">
        <x:v>Nota ii: put parcial</x:v>
      </x:c>
      <x:c r="D24" s="130" t="str">
        <x:v>Nota iii: call potenciado - short put</x:v>
      </x:c>
    </x:row>
    <x:row r="25" ht="15" hidden="0" customHeight="1">
      <x:c r="A25" s="201" t="n">
        <x:v>-0.4</x:v>
      </x:c>
      <x:c r="B25" s="202" t="n">
        <x:f>$C$6*(1+$D$17*MAX(A25,0))</x:f>
        <x:v>100</x:v>
      </x:c>
      <x:c r="C25" s="202" t="n">
        <x:f>$C$6*(1+$E$18*MAX(-A25,0))</x:f>
        <x:v>130.95378301665383</x:v>
      </x:c>
      <x:c r="D25" s="203" t="n">
        <x:f>$C$6*(1+$D$19*MAX(A25,0)-$E$19*MAX(-A25,0))</x:f>
        <x:v>90</x:v>
      </x:c>
    </x:row>
    <x:row r="26" ht="15" hidden="0" customHeight="1">
      <x:c r="A26" s="204" t="n">
        <x:v>-0.3</x:v>
      </x:c>
      <x:c r="B26" s="205" t="n">
        <x:f>$C$6*(1+$D$17*MAX(A26,0))</x:f>
        <x:v>100</x:v>
      </x:c>
      <x:c r="C26" s="205" t="n">
        <x:f>$C$6*(1+$E$18*MAX(-A26,0))</x:f>
        <x:v>123.21533726249037</x:v>
      </x:c>
      <x:c r="D26" s="206" t="n">
        <x:f>$C$6*(1+$D$19*MAX(A26,0)-$E$19*MAX(-A26,0))</x:f>
        <x:v>92.5</x:v>
      </x:c>
    </x:row>
    <x:row r="27" ht="15" hidden="0" customHeight="1">
      <x:c r="A27" s="204" t="n">
        <x:v>-0.2</x:v>
      </x:c>
      <x:c r="B27" s="205" t="n">
        <x:f>$C$6*(1+$D$17*MAX(A27,0))</x:f>
        <x:v>100</x:v>
      </x:c>
      <x:c r="C27" s="205" t="n">
        <x:f>$C$6*(1+$E$18*MAX(-A27,0))</x:f>
        <x:v>115.47689150832691</x:v>
      </x:c>
      <x:c r="D27" s="206" t="n">
        <x:f>$C$6*(1+$D$19*MAX(A27,0)-$E$19*MAX(-A27,0))</x:f>
        <x:v>95</x:v>
      </x:c>
    </x:row>
    <x:row r="28" ht="15" hidden="0" customHeight="1">
      <x:c r="A28" s="204" t="n">
        <x:v>-0.1</x:v>
      </x:c>
      <x:c r="B28" s="205" t="n">
        <x:f>$C$6*(1+$D$17*MAX(A28,0))</x:f>
        <x:v>100</x:v>
      </x:c>
      <x:c r="C28" s="205" t="n">
        <x:f>$C$6*(1+$E$18*MAX(-A28,0))</x:f>
        <x:v>107.73844575416345</x:v>
      </x:c>
      <x:c r="D28" s="206" t="n">
        <x:f>$C$6*(1+$D$19*MAX(A28,0)-$E$19*MAX(-A28,0))</x:f>
        <x:v>97.5</x:v>
      </x:c>
    </x:row>
    <x:row r="29" ht="15" hidden="0" customHeight="1">
      <x:c r="A29" s="204" t="n">
        <x:v>0</x:v>
      </x:c>
      <x:c r="B29" s="205" t="n">
        <x:f>$C$6*(1+$D$17*MAX(A29,0))</x:f>
        <x:v>100</x:v>
      </x:c>
      <x:c r="C29" s="205" t="n">
        <x:f>$C$6*(1+$E$18*MAX(-A29,0))</x:f>
        <x:v>100</x:v>
      </x:c>
      <x:c r="D29" s="206" t="n">
        <x:f>$C$6*(1+$D$19*MAX(A29,0)-$E$19*MAX(-A29,0))</x:f>
        <x:v>100</x:v>
      </x:c>
    </x:row>
    <x:row r="30" ht="15" hidden="0" customHeight="1">
      <x:c r="A30" s="204" t="n">
        <x:v>0.1</x:v>
      </x:c>
      <x:c r="B30" s="205" t="n">
        <x:f>$C$6*(1+$D$17*MAX(A30,0))</x:f>
        <x:v>106.9646011787471</x:v>
      </x:c>
      <x:c r="C30" s="205" t="n">
        <x:f>$C$6*(1+$E$18*MAX(-A30,0))</x:f>
        <x:v>100</x:v>
      </x:c>
      <x:c r="D30" s="206" t="n">
        <x:f>$C$6*(1+$D$19*MAX(A30,0)-$E$19*MAX(-A30,0))</x:f>
        <x:v>109.2146011787471</x:v>
      </x:c>
    </x:row>
    <x:row r="31" ht="15" hidden="0" customHeight="1">
      <x:c r="A31" s="204" t="n">
        <x:v>0.2</x:v>
      </x:c>
      <x:c r="B31" s="205" t="n">
        <x:f>$C$6*(1+$D$17*MAX(A31,0))</x:f>
        <x:v>113.92920235749422</x:v>
      </x:c>
      <x:c r="C31" s="205" t="n">
        <x:f>$C$6*(1+$E$18*MAX(-A31,0))</x:f>
        <x:v>100</x:v>
      </x:c>
      <x:c r="D31" s="206" t="n">
        <x:f>$C$6*(1+$D$19*MAX(A31,0)-$E$19*MAX(-A31,0))</x:f>
        <x:v>118.4292023574942</x:v>
      </x:c>
    </x:row>
    <x:row r="32" ht="15" hidden="0" customHeight="1">
      <x:c r="A32" s="204" t="n">
        <x:v>0.3</x:v>
      </x:c>
      <x:c r="B32" s="205" t="n">
        <x:f>$C$6*(1+$D$17*MAX(A32,0))</x:f>
        <x:v>120.89380353624134</x:v>
      </x:c>
      <x:c r="C32" s="205" t="n">
        <x:f>$C$6*(1+$E$18*MAX(-A32,0))</x:f>
        <x:v>100</x:v>
      </x:c>
      <x:c r="D32" s="206" t="n">
        <x:f>$C$6*(1+$D$19*MAX(A32,0)-$E$19*MAX(-A32,0))</x:f>
        <x:v>127.64380353624132</x:v>
      </x:c>
    </x:row>
    <x:row r="33" ht="15" hidden="0" customHeight="1">
      <x:c r="A33" s="207" t="n">
        <x:v>0.4</x:v>
      </x:c>
      <x:c r="B33" s="208" t="n">
        <x:f>$C$6*(1+$D$17*MAX(A33,0))</x:f>
        <x:v>127.85840471498844</x:v>
      </x:c>
      <x:c r="C33" s="208" t="n">
        <x:f>$C$6*(1+$E$18*MAX(-A33,0))</x:f>
        <x:v>100</x:v>
      </x:c>
      <x:c r="D33" s="209" t="n">
        <x:f>$C$6*(1+$D$19*MAX(A33,0)-$E$19*MAX(-A33,0))</x:f>
        <x:v>136.8584047149884</x:v>
      </x:c>
    </x:row>
    <x:row r="34"/>
    <x:row r="35"/>
    <x:row r="36" ht="15" hidden="0" customHeight="1">
      <x:c r="A36" s="189" t="str">
        <x:v>Derivación compacta y fórmulas clave</x:v>
      </x:c>
    </x:row>
    <x:row r="37" ht="22" hidden="0" customHeight="1">
      <x:c r="A37" s="28" t="str">
        <x:v>Paso</x:v>
      </x:c>
      <x:c r="B37" s="28" t="str">
        <x:v>Expresión</x:v>
      </x:c>
      <x:c r="C37" s="28" t="str">
        <x:v>Celda/fórmula</x:v>
      </x:c>
      <x:c r="D37" s="28" t="str">
        <x:v>Resultado</x:v>
      </x:c>
    </x:row>
    <x:row r="38" ht="22" hidden="0" customHeight="1">
      <x:c r="A38" s="143" t="str">
        <x:v>1</x:v>
      </x:c>
      <x:c r="B38" s="118" t="str">
        <x:v>DF = e^{-rT}</x:v>
      </x:c>
      <x:c r="C38" s="118" t="str">
        <x:v>J6 = EXP(-C8*C7)</x:v>
      </x:c>
      <x:c r="D38" s="226" t="n">
        <x:f>J6</x:f>
        <x:v>0.8607079764250578</x:v>
      </x:c>
    </x:row>
    <x:row r="39" ht="22" hidden="0" customHeight="1">
      <x:c r="A39" s="144" t="str">
        <x:v>2</x:v>
      </x:c>
      <x:c r="B39" s="119" t="str">
        <x:v>PV_Bono = N·DF</x:v>
      </x:c>
      <x:c r="C39" s="119" t="str">
        <x:v>J7 = C6*J6</x:v>
      </x:c>
      <x:c r="D39" s="228" t="n">
        <x:f>J7</x:f>
        <x:v>86.07079764250578</x:v>
      </x:c>
    </x:row>
    <x:row r="40" ht="22" hidden="0" customHeight="1">
      <x:c r="A40" s="144" t="str">
        <x:v>3</x:v>
      </x:c>
      <x:c r="B40" s="119" t="str">
        <x:v>Budget% = 1 - DF</x:v>
      </x:c>
      <x:c r="C40" s="119" t="str">
        <x:v>J9 = J8/C6</x:v>
      </x:c>
      <x:c r="D40" s="230" t="n">
        <x:f>J9</x:f>
        <x:v>0.1392920235749422</x:v>
      </x:c>
      <x:c r="F40" s="236" t="str">
        <x:v>Notas metodológicas:
1) El Anexo I usa la descomposición bono cupón cero + derivado para garantizar capital y ajustar participación.
2) Los costos de call y put se tratan como porcentaje del nocional.
3) La Nota iii vende 25% de una put ATM; por eso gana más si sube el IPC, pero ya no conserva protección total si el IPC baja.
4) Si se usara capitalización anual efectiva en lugar de continua, cambian el factor de descuento y las participaciones.</x:v>
      </x:c>
      <x:c r="G40" s="242"/>
      <x:c r="H40" s="242"/>
      <x:c r="I40" s="242"/>
      <x:c r="J40" s="242"/>
      <x:c r="K40" s="242"/>
      <x:c r="L40" s="242"/>
    </x:row>
    <x:row r="41" ht="22" hidden="0" customHeight="1">
      <x:c r="A41" s="144" t="str">
        <x:v>4</x:v>
      </x:c>
      <x:c r="B41" s="119" t="str">
        <x:v>Nota i: α = Budget% / C_ATM</x:v>
      </x:c>
      <x:c r="C41" s="119" t="str">
        <x:v>D17 = J9/C9</x:v>
      </x:c>
      <x:c r="D41" s="230" t="n">
        <x:f>D17</x:f>
        <x:v>0.696460117874711</x:v>
      </x:c>
      <x:c r="F41" s="242"/>
      <x:c r="G41" s="242"/>
      <x:c r="H41" s="242"/>
      <x:c r="I41" s="242"/>
      <x:c r="J41" s="242"/>
      <x:c r="K41" s="242"/>
      <x:c r="L41" s="242"/>
    </x:row>
    <x:row r="42" ht="22" hidden="0" customHeight="1">
      <x:c r="A42" s="144" t="str">
        <x:v>5</x:v>
      </x:c>
      <x:c r="B42" s="119" t="str">
        <x:v>Nota ii: β = Budget% / P_ATM</x:v>
      </x:c>
      <x:c r="C42" s="119" t="str">
        <x:v>E18 = J9/C10</x:v>
      </x:c>
      <x:c r="D42" s="230" t="n">
        <x:f>E18</x:f>
        <x:v>0.7738445754163455</x:v>
      </x:c>
      <x:c r="F42" s="242"/>
      <x:c r="G42" s="242"/>
      <x:c r="H42" s="242"/>
      <x:c r="I42" s="242"/>
      <x:c r="J42" s="242"/>
      <x:c r="K42" s="242"/>
      <x:c r="L42" s="242"/>
    </x:row>
    <x:row r="43" ht="22" hidden="0" customHeight="1">
      <x:c r="A43" s="144" t="str">
        <x:v>6</x:v>
      </x:c>
      <x:c r="B43" s="119" t="str">
        <x:v>Nota iii: γ = (Budget% + δ·P_ATM)/C_ATM</x:v>
      </x:c>
      <x:c r="C43" s="119" t="str">
        <x:v>D19 = (J9+C11*C10)/C9</x:v>
      </x:c>
      <x:c r="D43" s="230" t="n">
        <x:f>D19</x:f>
        <x:v>0.9214601178747108</x:v>
      </x:c>
      <x:c r="F43" s="242"/>
      <x:c r="G43" s="242"/>
      <x:c r="H43" s="242"/>
      <x:c r="I43" s="242"/>
      <x:c r="J43" s="242"/>
      <x:c r="K43" s="242"/>
      <x:c r="L43" s="242"/>
    </x:row>
    <x:row r="44" ht="22" hidden="0" customHeight="1">
      <x:c r="A44" s="144" t="str">
        <x:v>7</x:v>
      </x:c>
      <x:c r="B44" s="119" t="str">
        <x:v>Pago i = N[1 + α max(R,0)]</x:v>
      </x:c>
      <x:c r="C44" s="119" t="str">
        <x:v>J17</x:v>
      </x:c>
      <x:c r="D44" s="228" t="n">
        <x:f>J17</x:f>
        <x:v>106.9646011787471</x:v>
      </x:c>
      <x:c r="F44" s="242"/>
      <x:c r="G44" s="242"/>
      <x:c r="H44" s="242"/>
      <x:c r="I44" s="242"/>
      <x:c r="J44" s="242"/>
      <x:c r="K44" s="242"/>
      <x:c r="L44" s="242"/>
    </x:row>
    <x:row r="45" ht="22" hidden="0" customHeight="1">
      <x:c r="A45" s="144" t="str">
        <x:v>8</x:v>
      </x:c>
      <x:c r="B45" s="119" t="str">
        <x:v>Pago ii = N[1 + β max(-R,0)]</x:v>
      </x:c>
      <x:c r="C45" s="119" t="str">
        <x:v>J18</x:v>
      </x:c>
      <x:c r="D45" s="228" t="n">
        <x:f>J18</x:f>
        <x:v>100</x:v>
      </x:c>
      <x:c r="F45" s="242"/>
      <x:c r="G45" s="242"/>
      <x:c r="H45" s="242"/>
      <x:c r="I45" s="242"/>
      <x:c r="J45" s="242"/>
      <x:c r="K45" s="242"/>
      <x:c r="L45" s="242"/>
    </x:row>
    <x:row r="46" ht="22" hidden="0" customHeight="1">
      <x:c r="A46" s="145" t="str">
        <x:v>9</x:v>
      </x:c>
      <x:c r="B46" s="120" t="str">
        <x:v>Pago iii = N[1 + γ max(R,0) - δ max(-R,0)]</x:v>
      </x:c>
      <x:c r="C46" s="120" t="str">
        <x:v>J19</x:v>
      </x:c>
      <x:c r="D46" s="232" t="n">
        <x:f>J19</x:f>
        <x:v>109.2146011787471</x:v>
      </x:c>
      <x:c r="F46" s="242"/>
      <x:c r="G46" s="242"/>
      <x:c r="H46" s="242"/>
      <x:c r="I46" s="242"/>
      <x:c r="J46" s="242"/>
      <x:c r="K46" s="242"/>
      <x:c r="L46" s="242"/>
    </x:row>
  </x:sheetData>
  <x:mergeCells>
    <x:mergeCell ref="A1:L1"/>
    <x:mergeCell ref="A2:L2"/>
    <x:mergeCell ref="A4:E4"/>
    <x:mergeCell ref="G4:L4"/>
    <x:mergeCell ref="A15:L15"/>
    <x:mergeCell ref="A23:D23"/>
    <x:mergeCell ref="A36:L36"/>
    <x:mergeCell ref="F40:L46"/>
  </x:mergeCells>
  <x:conditionalFormatting sqref="B25:D33">
    <x:cfRule type="cellIs" dxfId="0" priority="1" operator="lessThan">
      <x:formula>100</x:formula>
    </x:cfRule>
  </x:conditionalFormatting>
  <x:pageMargins left="0.7" right="0.7" top="0.75" bottom="0.75" header="0.3" footer="0.3"/>
  <x:drawing xmlns:r="http://schemas.openxmlformats.org/officeDocument/2006/relationships" r:id="R1e301e98e596422b"/>
</x:worksheet>
</file>