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winliveudlap-my.sharepoint.com/personal/heriberto_espinomo_udlap_mx/Documents/uni/10 Semestre Primavera/Derivados Exoticos/"/>
    </mc:Choice>
  </mc:AlternateContent>
  <xr:revisionPtr revIDLastSave="73" documentId="11_CEF1B54656F65D0357F105BAF2283CDFF83766A1" xr6:coauthVersionLast="47" xr6:coauthVersionMax="47" xr10:uidLastSave="{B8663232-1492-4D8B-9DA4-7ABF95D32043}"/>
  <bookViews>
    <workbookView xWindow="-110" yWindow="-110" windowWidth="25820" windowHeight="16220" xr2:uid="{00000000-000D-0000-FFFF-FFFF00000000}"/>
  </bookViews>
  <sheets>
    <sheet name="Geometrico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" i="1" l="1"/>
  <c r="H46" i="1"/>
  <c r="H44" i="1"/>
  <c r="H6" i="1"/>
  <c r="H7" i="1"/>
  <c r="H8" i="1"/>
  <c r="H9" i="1"/>
  <c r="H10" i="1"/>
  <c r="H11" i="1"/>
  <c r="H12" i="1"/>
  <c r="H13" i="1"/>
  <c r="H14" i="1"/>
  <c r="H15" i="1"/>
  <c r="H16" i="1"/>
  <c r="H5" i="1"/>
  <c r="C47" i="1"/>
  <c r="C43" i="1"/>
  <c r="C50" i="1"/>
  <c r="C51" i="1"/>
  <c r="C49" i="1"/>
  <c r="D43" i="1"/>
  <c r="D44" i="1" s="1"/>
  <c r="I8" i="1"/>
  <c r="I7" i="1"/>
  <c r="I6" i="1"/>
  <c r="I5" i="1"/>
  <c r="I9" i="1" l="1"/>
  <c r="I10" i="1" s="1"/>
  <c r="D45" i="1"/>
  <c r="D46" i="1" s="1"/>
  <c r="I43" i="1"/>
  <c r="I11" i="1" l="1"/>
  <c r="I15" i="1" s="1"/>
  <c r="I13" i="1"/>
  <c r="I16" i="1" s="1"/>
  <c r="I12" i="1"/>
  <c r="I14" i="1"/>
  <c r="I45" i="1"/>
  <c r="D47" i="1"/>
  <c r="D48" i="1" s="1"/>
  <c r="D50" i="1" s="1"/>
  <c r="I44" i="1"/>
  <c r="I17" i="1" l="1"/>
  <c r="B58" i="1"/>
  <c r="I58" i="1" s="1"/>
  <c r="I47" i="1"/>
  <c r="I46" i="1"/>
  <c r="I48" i="1" s="1"/>
  <c r="B59" i="1" s="1"/>
  <c r="I59" i="1" s="1"/>
  <c r="D49" i="1"/>
  <c r="D51" i="1" s="1"/>
  <c r="D52" i="1" l="1"/>
  <c r="B57" i="1" s="1"/>
  <c r="E60" i="1" l="1"/>
  <c r="B60" i="1"/>
  <c r="H60" i="1" s="1"/>
  <c r="I57" i="1"/>
</calcChain>
</file>

<file path=xl/sharedStrings.xml><?xml version="1.0" encoding="utf-8"?>
<sst xmlns="http://schemas.openxmlformats.org/spreadsheetml/2006/main" count="191" uniqueCount="154">
  <si>
    <t>Valuación de opción asiática con promedio geométrico</t>
  </si>
  <si>
    <t>Inputs editables</t>
  </si>
  <si>
    <t>Resultado principal</t>
  </si>
  <si>
    <t>Dato</t>
  </si>
  <si>
    <t>Símbolo</t>
  </si>
  <si>
    <t>Valor</t>
  </si>
  <si>
    <t>Concepto</t>
  </si>
  <si>
    <t>Fórmula Excel</t>
  </si>
  <si>
    <t>Precio actual del subyacente</t>
  </si>
  <si>
    <t>S</t>
  </si>
  <si>
    <t>Plazo en años</t>
  </si>
  <si>
    <t>T</t>
  </si>
  <si>
    <t>Precio de ejercicio</t>
  </si>
  <si>
    <t>K</t>
  </si>
  <si>
    <t>Volatilidad ajustada</t>
  </si>
  <si>
    <t>σ_A</t>
  </si>
  <si>
    <t>Tasa libre de riesgo anual</t>
  </si>
  <si>
    <t>r</t>
  </si>
  <si>
    <t>Costo de acarreo ajustado</t>
  </si>
  <si>
    <t>b_A</t>
  </si>
  <si>
    <t>Costo de acarreo anual</t>
  </si>
  <si>
    <t>b</t>
  </si>
  <si>
    <t>Log-moneyness</t>
  </si>
  <si>
    <t>ln(S/K)</t>
  </si>
  <si>
    <t>Volatilidad anual</t>
  </si>
  <si>
    <t>σ</t>
  </si>
  <si>
    <t>d1</t>
  </si>
  <si>
    <t>Plazo a vencimiento en meses</t>
  </si>
  <si>
    <t>m</t>
  </si>
  <si>
    <t>d2</t>
  </si>
  <si>
    <t>Tipo de opción</t>
  </si>
  <si>
    <t>call/put</t>
  </si>
  <si>
    <t>put</t>
  </si>
  <si>
    <t>N(d1)</t>
  </si>
  <si>
    <t>N(d2)</t>
  </si>
  <si>
    <t>N(-d1)</t>
  </si>
  <si>
    <t>N(-d2)</t>
  </si>
  <si>
    <t>Call geométrica</t>
  </si>
  <si>
    <t>c</t>
  </si>
  <si>
    <t>Put geométrica</t>
  </si>
  <si>
    <t>p</t>
  </si>
  <si>
    <t>Valor seleccionado</t>
  </si>
  <si>
    <t>V</t>
  </si>
  <si>
    <t>Pasos de valuación</t>
  </si>
  <si>
    <t>Paso</t>
  </si>
  <si>
    <t>Fórmula teórica</t>
  </si>
  <si>
    <t>Celda</t>
  </si>
  <si>
    <t>Lectura</t>
  </si>
  <si>
    <t>1</t>
  </si>
  <si>
    <t>Convertir plazo</t>
  </si>
  <si>
    <t>T = meses/12</t>
  </si>
  <si>
    <t>I6</t>
  </si>
  <si>
    <t>3 meses → 0.25 años</t>
  </si>
  <si>
    <t>2</t>
  </si>
  <si>
    <t>Ajustar volatilidad</t>
  </si>
  <si>
    <t>σ_A = σ/√3</t>
  </si>
  <si>
    <t>I7</t>
  </si>
  <si>
    <t>El promedio geométrico reduce la varianza efectiva.</t>
  </si>
  <si>
    <t>3</t>
  </si>
  <si>
    <t>Ajustar costo de acarreo</t>
  </si>
  <si>
    <t>b_A = 0.5(b − σ²/6)</t>
  </si>
  <si>
    <t>I8</t>
  </si>
  <si>
    <t>Se usa el b dado en el enunciado, no r−q.</t>
  </si>
  <si>
    <t>4</t>
  </si>
  <si>
    <t>Calcular d1 y d2</t>
  </si>
  <si>
    <t>I10:I11</t>
  </si>
  <si>
    <t>Mide moneyness ajustada por el promedio geométrico.</t>
  </si>
  <si>
    <t>5</t>
  </si>
  <si>
    <t>Valuar put</t>
  </si>
  <si>
    <t>I17</t>
  </si>
  <si>
    <t>Con los datos del ejercicio da aproximadamente 4.6922.</t>
  </si>
  <si>
    <t>Supuestos del modelo</t>
  </si>
  <si>
    <t>Supuesto</t>
  </si>
  <si>
    <t>Detalle</t>
  </si>
  <si>
    <t>Modelo de precio</t>
  </si>
  <si>
    <t>Movimiento geométrico browniano con volatilidad constante.</t>
  </si>
  <si>
    <t>Tipo de promedio</t>
  </si>
  <si>
    <t>Promedio geométrico continuo, consistente con la fórmula de la diapositiva.</t>
  </si>
  <si>
    <t>Costo de acarreo</t>
  </si>
  <si>
    <t>El dato b = 8% se usa directamente en lugar de reconstruirse como r − q.</t>
  </si>
  <si>
    <t>Tiempo</t>
  </si>
  <si>
    <t>Todas las tasas son anuales; el plazo se transforma a años.</t>
  </si>
  <si>
    <t>Salida</t>
  </si>
  <si>
    <t>La celda I18 cambia automáticamente según C12: call o put.</t>
  </si>
  <si>
    <t>Fórmula</t>
  </si>
  <si>
    <t>Volatilidad efectiva</t>
  </si>
  <si>
    <t>Comparación: put aritmético, put geométrico y put vanilla</t>
  </si>
  <si>
    <t>Misma información del ejercicio: S=80, K=85, r=5%, b=8%, σ=20%, T=3 meses.</t>
  </si>
  <si>
    <t>Put vanilla: Black-Scholes con costo de acarreo</t>
  </si>
  <si>
    <t>Fórmula usada</t>
  </si>
  <si>
    <t>Convierte meses a años.</t>
  </si>
  <si>
    <t>d1 vanilla</t>
  </si>
  <si>
    <t>Teórica: [ln(S/K)+(b+0.5σ²)T]/(σ√T)</t>
  </si>
  <si>
    <t>Primer momento del promedio</t>
  </si>
  <si>
    <t>Media del promedio aritmético continuo.</t>
  </si>
  <si>
    <t>d2 vanilla</t>
  </si>
  <si>
    <t>Segundo momento del promedio</t>
  </si>
  <si>
    <t>Segundo momento del promedio aritmético continuo.</t>
  </si>
  <si>
    <t>Varianza lognormal efectiva</t>
  </si>
  <si>
    <t>σ_A²</t>
  </si>
  <si>
    <t>Parámetro de varianza anualizada aproximada.</t>
  </si>
  <si>
    <t>Volatilidad equivalente del promedio.</t>
  </si>
  <si>
    <t>Call vanilla</t>
  </si>
  <si>
    <t>C_van</t>
  </si>
  <si>
    <t>d1 aritmético</t>
  </si>
  <si>
    <t>Umbral normal ajustado.</t>
  </si>
  <si>
    <t>Put vanilla</t>
  </si>
  <si>
    <t>P_van</t>
  </si>
  <si>
    <t>d2 aritmético</t>
  </si>
  <si>
    <t>Segundo umbral normal.</t>
  </si>
  <si>
    <t>Probabilidad normal para put.</t>
  </si>
  <si>
    <t>Put aritmético</t>
  </si>
  <si>
    <t>P_arit</t>
  </si>
  <si>
    <t>Prima aproximada por lognormal matching.</t>
  </si>
  <si>
    <t>Instrumento</t>
  </si>
  <si>
    <t>Prima</t>
  </si>
  <si>
    <t>Referencia</t>
  </si>
  <si>
    <t>Orden esperado</t>
  </si>
  <si>
    <t>Comentario</t>
  </si>
  <si>
    <t>Resumen</t>
  </si>
  <si>
    <t>Put asiático aritmético</t>
  </si>
  <si>
    <t>D63</t>
  </si>
  <si>
    <t>menor</t>
  </si>
  <si>
    <t>El promedio aritmético es mayor que el geométrico; para una put, mayor subyacente promedio baja el payoff.</t>
  </si>
  <si>
    <t>Put asiático geométrico</t>
  </si>
  <si>
    <t>intermedio</t>
  </si>
  <si>
    <t>Proviene del modelo Kemna &amp; Vorst ya calculado arriba.</t>
  </si>
  <si>
    <t>P_geom</t>
  </si>
  <si>
    <t>I59</t>
  </si>
  <si>
    <t>mayor</t>
  </si>
  <si>
    <t>No promedia la trayectoria; conserva mayor exposición efectiva a S_T.</t>
  </si>
  <si>
    <t>P_vanilla</t>
  </si>
  <si>
    <t>Conclusión</t>
  </si>
  <si>
    <t>P_arit &lt; P_geom &lt; P_vanilla</t>
  </si>
  <si>
    <t>Orden</t>
  </si>
  <si>
    <t>Como el payoff put (K − x)+ es decreciente en x, se obtiene P_arit ≤ P_geom.</t>
  </si>
  <si>
    <t>El vanilla suele valer más que el asiático porque no suaviza la trayectoria mediante promedio; mantiene más convexidad efectiva.</t>
  </si>
  <si>
    <t>Conclusión del ejercicio: sí se cumple la relación de orden vista en clase.</t>
  </si>
  <si>
    <t>S0·(e^{bT}-1)/(bT)</t>
  </si>
  <si>
    <t>Teórica: [ln(M1/K)+0.5σ_A²T]/(σ_A√T)</t>
  </si>
  <si>
    <t>Teórica: e^{-rT}[K N(-d2)-M1 N(-d1)]</t>
  </si>
  <si>
    <t>TW/Hull para E[A²]</t>
  </si>
  <si>
    <t>LN(M2/M1²)/T</t>
  </si>
  <si>
    <t>p = K e^{-rT}N(−d2) − S e^{(b_A−r)T}N(−d1)</t>
  </si>
  <si>
    <t>K e^{-rT}N(-d2)-S e^{(b-r)T}N(-d1)</t>
  </si>
  <si>
    <t>K e^{-rT}N(-d2)-S e^{(b_A-r)T}N(-d1)</t>
  </si>
  <si>
    <t>M2</t>
  </si>
  <si>
    <t>d1 = [ln(S/K)+(b_A+σ_A²/2)T]/(σ_A√T); d2=d1−σ_A√T</t>
  </si>
  <si>
    <t>M1</t>
  </si>
  <si>
    <t>Teórica: S e^{(b-r)T}N(d1)-K e^{-rT}N(d2)</t>
  </si>
  <si>
    <t>Teórica: K e^{-rT}N(-d2)-S e^{(b-r)T}N(-d1)</t>
  </si>
  <si>
    <t>e^{-rT}[K N(-d2)-M1N(-d1)]</t>
  </si>
  <si>
    <t>Relación de orden</t>
  </si>
  <si>
    <t>Para precios, el promedio aritmético domina al geométrico: A_arit ≥ A_geom.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</si>
</sst>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;[Red]\(\$#,##0.00\);\-"/>
    <numFmt numFmtId="165" formatCode="0.000000"/>
    <numFmt numFmtId="166" formatCode="0.0000%"/>
    <numFmt numFmtId="167" formatCode="\$#,##0.0000;[Red]\(\$#,##0.0000\);\-"/>
    <numFmt numFmtId="168" formatCode="\$0.0000"/>
  </numFmts>
  <fonts count="11">
    <font>
      <sz val="11"/>
      <name val="Carlito"/>
    </font>
    <font>
      <b/>
      <sz val="16"/>
      <color rgb="FFFFFFFF"/>
      <name val="Carlito"/>
    </font>
    <font>
      <i/>
      <sz val="11"/>
      <color rgb="FF1F1F1F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0000FF"/>
      <name val="Carlito"/>
    </font>
    <font>
      <sz val="8"/>
      <color rgb="FF555555"/>
      <name val="Carlito"/>
    </font>
    <font>
      <b/>
      <sz val="8"/>
      <color rgb="FF555555"/>
      <name val="Carlito"/>
    </font>
    <font>
      <b/>
      <sz val="12"/>
      <name val="Carlito"/>
    </font>
    <font>
      <sz val="9"/>
      <color rgb="FF555555"/>
      <name val="Carlito"/>
    </font>
    <font>
      <b/>
      <sz val="13"/>
      <color rgb="FFFFFFFF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164" fontId="5" fillId="4" borderId="1" xfId="0" applyNumberFormat="1" applyFont="1" applyFill="1" applyBorder="1" applyAlignment="1">
      <alignment horizontal="right" vertical="center" wrapText="1"/>
    </xf>
    <xf numFmtId="164" fontId="5" fillId="4" borderId="2" xfId="0" applyNumberFormat="1" applyFont="1" applyFill="1" applyBorder="1" applyAlignment="1">
      <alignment horizontal="right" vertical="center" wrapText="1"/>
    </xf>
    <xf numFmtId="10" fontId="5" fillId="4" borderId="2" xfId="0" applyNumberFormat="1" applyFont="1" applyFill="1" applyBorder="1" applyAlignment="1">
      <alignment horizontal="right" vertical="center" wrapText="1"/>
    </xf>
    <xf numFmtId="1" fontId="5" fillId="4" borderId="2" xfId="0" applyNumberFormat="1" applyFont="1" applyFill="1" applyBorder="1" applyAlignment="1">
      <alignment horizontal="right" vertical="center" wrapText="1"/>
    </xf>
    <xf numFmtId="49" fontId="5" fillId="4" borderId="3" xfId="0" applyNumberFormat="1" applyFont="1" applyFill="1" applyBorder="1" applyAlignment="1">
      <alignment horizontal="right" vertical="center" wrapText="1"/>
    </xf>
    <xf numFmtId="0" fontId="4" fillId="3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165" fontId="0" fillId="0" borderId="1" xfId="0" applyNumberFormat="1" applyBorder="1" applyAlignment="1">
      <alignment horizontal="right" vertical="center" wrapText="1"/>
    </xf>
    <xf numFmtId="166" fontId="0" fillId="0" borderId="2" xfId="0" applyNumberFormat="1" applyBorder="1" applyAlignment="1">
      <alignment horizontal="right" vertical="center" wrapText="1"/>
    </xf>
    <xf numFmtId="165" fontId="0" fillId="0" borderId="2" xfId="0" applyNumberFormat="1" applyBorder="1" applyAlignment="1">
      <alignment horizontal="right" vertical="center" wrapText="1"/>
    </xf>
    <xf numFmtId="167" fontId="0" fillId="0" borderId="2" xfId="0" applyNumberFormat="1" applyBorder="1" applyAlignment="1">
      <alignment horizontal="right" vertical="center" wrapText="1"/>
    </xf>
    <xf numFmtId="0" fontId="4" fillId="5" borderId="4" xfId="0" applyFont="1" applyFill="1" applyBorder="1" applyAlignment="1">
      <alignment vertical="center" wrapText="1"/>
    </xf>
    <xf numFmtId="0" fontId="7" fillId="5" borderId="4" xfId="0" applyFont="1" applyFill="1" applyBorder="1" applyAlignment="1">
      <alignment vertical="center" wrapText="1"/>
    </xf>
    <xf numFmtId="167" fontId="8" fillId="5" borderId="4" xfId="0" applyNumberFormat="1" applyFont="1" applyFill="1" applyBorder="1" applyAlignment="1">
      <alignment horizontal="right" vertical="center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top" wrapText="1"/>
    </xf>
    <xf numFmtId="165" fontId="4" fillId="9" borderId="0" xfId="0" applyNumberFormat="1" applyFont="1" applyFill="1" applyAlignment="1">
      <alignment vertical="top" wrapText="1"/>
    </xf>
    <xf numFmtId="168" fontId="4" fillId="9" borderId="0" xfId="0" applyNumberFormat="1" applyFont="1" applyFill="1" applyAlignment="1">
      <alignment vertical="top" wrapText="1"/>
    </xf>
    <xf numFmtId="0" fontId="3" fillId="8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7" borderId="0" xfId="0" applyFont="1" applyFill="1" applyAlignment="1">
      <alignment horizontal="center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2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9" fillId="0" borderId="1" xfId="0" applyFont="1" applyFill="1" applyBorder="1" applyAlignment="1">
      <alignment vertical="center" wrapText="1"/>
    </xf>
    <xf numFmtId="0" fontId="9" fillId="0" borderId="2" xfId="0" applyFont="1" applyFill="1" applyBorder="1" applyAlignment="1">
      <alignment vertical="center" wrapText="1"/>
    </xf>
    <xf numFmtId="0" fontId="9" fillId="0" borderId="3" xfId="0" applyFont="1" applyFill="1" applyBorder="1" applyAlignment="1">
      <alignment vertical="center" wrapText="1"/>
    </xf>
    <xf numFmtId="49" fontId="4" fillId="9" borderId="0" xfId="0" applyNumberFormat="1" applyFont="1" applyFill="1" applyAlignment="1">
      <alignment horizontal="center" vertical="top" wrapText="1"/>
    </xf>
    <xf numFmtId="49" fontId="4" fillId="9" borderId="4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C6C6C6"/>
      </a:dk1>
      <a:lt1>
        <a:sysClr val="window" lastClr="000000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"/>
  <sheetViews>
    <sheetView tabSelected="1" topLeftCell="A46" zoomScale="70" workbookViewId="0">
      <selection activeCell="I69" sqref="A1:I69"/>
    </sheetView>
  </sheetViews>
  <sheetFormatPr defaultRowHeight="14"/>
  <cols>
    <col min="1" max="1" width="25.5" bestFit="1" customWidth="1"/>
    <col min="2" max="2" width="15.08203125" bestFit="1" customWidth="1"/>
    <col min="3" max="3" width="32.33203125" bestFit="1" customWidth="1"/>
    <col min="4" max="4" width="14.9140625" bestFit="1" customWidth="1"/>
    <col min="5" max="5" width="41" bestFit="1" customWidth="1"/>
    <col min="6" max="6" width="22.5" bestFit="1" customWidth="1"/>
    <col min="7" max="7" width="8.83203125" bestFit="1" customWidth="1"/>
    <col min="8" max="8" width="36.83203125" customWidth="1"/>
    <col min="9" max="9" width="17.83203125" bestFit="1" customWidth="1"/>
  </cols>
  <sheetData>
    <row r="1" spans="1:9" ht="20">
      <c r="A1" s="36" t="s">
        <v>0</v>
      </c>
      <c r="B1" s="36"/>
      <c r="C1" s="36"/>
      <c r="D1" s="36"/>
      <c r="E1" s="36"/>
      <c r="F1" s="36"/>
      <c r="G1" s="36"/>
      <c r="H1" s="36"/>
      <c r="I1" s="36"/>
    </row>
    <row r="2" spans="1:9">
      <c r="A2" s="21"/>
      <c r="B2" s="21"/>
      <c r="C2" s="21"/>
      <c r="D2" s="21"/>
      <c r="E2" s="21"/>
      <c r="F2" s="21"/>
      <c r="G2" s="21"/>
      <c r="H2" s="21"/>
      <c r="I2" s="21"/>
    </row>
    <row r="3" spans="1:9">
      <c r="A3" s="34" t="s">
        <v>1</v>
      </c>
      <c r="B3" s="34"/>
      <c r="C3" s="34"/>
      <c r="D3" s="34"/>
      <c r="E3" s="21"/>
      <c r="F3" s="34" t="s">
        <v>2</v>
      </c>
      <c r="G3" s="34"/>
      <c r="H3" s="34"/>
      <c r="I3" s="34"/>
    </row>
    <row r="4" spans="1:9">
      <c r="A4" s="9" t="s">
        <v>3</v>
      </c>
      <c r="B4" s="9" t="s">
        <v>4</v>
      </c>
      <c r="C4" s="9" t="s">
        <v>5</v>
      </c>
      <c r="D4" s="37"/>
      <c r="E4" s="21"/>
      <c r="F4" s="9" t="s">
        <v>6</v>
      </c>
      <c r="G4" s="9" t="s">
        <v>4</v>
      </c>
      <c r="H4" s="9" t="s">
        <v>7</v>
      </c>
      <c r="I4" s="9" t="s">
        <v>5</v>
      </c>
    </row>
    <row r="5" spans="1:9">
      <c r="A5" s="1" t="s">
        <v>8</v>
      </c>
      <c r="B5" s="1" t="s">
        <v>9</v>
      </c>
      <c r="C5" s="4">
        <v>80</v>
      </c>
      <c r="D5" s="38"/>
      <c r="E5" s="21"/>
      <c r="F5" s="1" t="s">
        <v>10</v>
      </c>
      <c r="G5" s="1" t="s">
        <v>11</v>
      </c>
      <c r="H5" s="10" t="str">
        <f ca="1">_xlfn.FORMULATEXT(I5)</f>
        <v>=C10/12</v>
      </c>
      <c r="I5" s="11">
        <f>C10/12</f>
        <v>0.25</v>
      </c>
    </row>
    <row r="6" spans="1:9">
      <c r="A6" s="2" t="s">
        <v>12</v>
      </c>
      <c r="B6" s="2" t="s">
        <v>13</v>
      </c>
      <c r="C6" s="5">
        <v>85</v>
      </c>
      <c r="D6" s="39"/>
      <c r="E6" s="21"/>
      <c r="F6" s="2" t="s">
        <v>14</v>
      </c>
      <c r="G6" s="2" t="s">
        <v>15</v>
      </c>
      <c r="H6" s="10" t="str">
        <f t="shared" ref="H6:H16" ca="1" si="0">_xlfn.FORMULATEXT(I6)</f>
        <v>=C9/SQRT(3)</v>
      </c>
      <c r="I6" s="12">
        <f>C9/SQRT(3)</f>
        <v>0.11547005383792516</v>
      </c>
    </row>
    <row r="7" spans="1:9">
      <c r="A7" s="2" t="s">
        <v>16</v>
      </c>
      <c r="B7" s="2" t="s">
        <v>17</v>
      </c>
      <c r="C7" s="6">
        <v>0.05</v>
      </c>
      <c r="D7" s="39"/>
      <c r="E7" s="21"/>
      <c r="F7" s="2" t="s">
        <v>18</v>
      </c>
      <c r="G7" s="2" t="s">
        <v>19</v>
      </c>
      <c r="H7" s="10" t="str">
        <f t="shared" ca="1" si="0"/>
        <v>=0.5*(C8-C9^2/6)</v>
      </c>
      <c r="I7" s="12">
        <f>0.5*(C8-C9^2/6)</f>
        <v>3.6666666666666667E-2</v>
      </c>
    </row>
    <row r="8" spans="1:9">
      <c r="A8" s="2" t="s">
        <v>20</v>
      </c>
      <c r="B8" s="2" t="s">
        <v>21</v>
      </c>
      <c r="C8" s="6">
        <v>0.08</v>
      </c>
      <c r="D8" s="39"/>
      <c r="E8" s="21"/>
      <c r="F8" s="2" t="s">
        <v>22</v>
      </c>
      <c r="G8" s="2" t="s">
        <v>23</v>
      </c>
      <c r="H8" s="10" t="str">
        <f t="shared" ca="1" si="0"/>
        <v>=LN(C5/C6)</v>
      </c>
      <c r="I8" s="13">
        <f>LN(C5/C6)</f>
        <v>-6.0624621816434854E-2</v>
      </c>
    </row>
    <row r="9" spans="1:9">
      <c r="A9" s="2" t="s">
        <v>24</v>
      </c>
      <c r="B9" s="2" t="s">
        <v>25</v>
      </c>
      <c r="C9" s="6">
        <v>0.2</v>
      </c>
      <c r="D9" s="39"/>
      <c r="E9" s="21"/>
      <c r="F9" s="2" t="s">
        <v>26</v>
      </c>
      <c r="G9" s="2" t="s">
        <v>26</v>
      </c>
      <c r="H9" s="10" t="str">
        <f t="shared" ca="1" si="0"/>
        <v>=(I8+(I7+0.5*I6^2)*I5)/(I6*SQRT(I5))</v>
      </c>
      <c r="I9" s="13">
        <f>(I8+(I7+0.5*I6^2)*I5)/(I6*SQRT(I5))</f>
        <v>-0.86241041427050924</v>
      </c>
    </row>
    <row r="10" spans="1:9">
      <c r="A10" s="2" t="s">
        <v>27</v>
      </c>
      <c r="B10" s="2" t="s">
        <v>28</v>
      </c>
      <c r="C10" s="7">
        <v>3</v>
      </c>
      <c r="D10" s="39"/>
      <c r="E10" s="21"/>
      <c r="F10" s="2" t="s">
        <v>29</v>
      </c>
      <c r="G10" s="2" t="s">
        <v>29</v>
      </c>
      <c r="H10" s="10" t="str">
        <f t="shared" ca="1" si="0"/>
        <v>=I9-I6*SQRT(I5)</v>
      </c>
      <c r="I10" s="13">
        <f>I9-I6*SQRT(I5)</f>
        <v>-0.92014544118947184</v>
      </c>
    </row>
    <row r="11" spans="1:9">
      <c r="A11" s="3" t="s">
        <v>30</v>
      </c>
      <c r="B11" s="3" t="s">
        <v>31</v>
      </c>
      <c r="C11" s="8" t="s">
        <v>32</v>
      </c>
      <c r="D11" s="40"/>
      <c r="E11" s="21"/>
      <c r="F11" s="2" t="s">
        <v>33</v>
      </c>
      <c r="G11" s="2" t="s">
        <v>33</v>
      </c>
      <c r="H11" s="10" t="str">
        <f t="shared" ca="1" si="0"/>
        <v>=NORM.S.DIST(I9,TRUE)</v>
      </c>
      <c r="I11" s="13">
        <f>_xlfn.NORM.S.DIST(I9,TRUE)</f>
        <v>0.1942308558509834</v>
      </c>
    </row>
    <row r="12" spans="1:9">
      <c r="A12" s="21"/>
      <c r="B12" s="21"/>
      <c r="C12" s="21"/>
      <c r="D12" s="21"/>
      <c r="E12" s="21"/>
      <c r="F12" s="2" t="s">
        <v>34</v>
      </c>
      <c r="G12" s="2" t="s">
        <v>34</v>
      </c>
      <c r="H12" s="10" t="str">
        <f t="shared" ca="1" si="0"/>
        <v>=NORM.S.DIST(I10,TRUE)</v>
      </c>
      <c r="I12" s="13">
        <f>_xlfn.NORM.S.DIST(I10,TRUE)</f>
        <v>0.17874838036637761</v>
      </c>
    </row>
    <row r="13" spans="1:9">
      <c r="A13" s="21"/>
      <c r="B13" s="21"/>
      <c r="C13" s="21"/>
      <c r="D13" s="21"/>
      <c r="E13" s="21"/>
      <c r="F13" s="2" t="s">
        <v>35</v>
      </c>
      <c r="G13" s="2" t="s">
        <v>35</v>
      </c>
      <c r="H13" s="10" t="str">
        <f t="shared" ca="1" si="0"/>
        <v>=NORM.S.DIST(-I9,TRUE)</v>
      </c>
      <c r="I13" s="13">
        <f>_xlfn.NORM.S.DIST(-I9,TRUE)</f>
        <v>0.80576914414901657</v>
      </c>
    </row>
    <row r="14" spans="1:9">
      <c r="A14" s="21"/>
      <c r="B14" s="21"/>
      <c r="C14" s="21"/>
      <c r="D14" s="21"/>
      <c r="E14" s="21"/>
      <c r="F14" s="2" t="s">
        <v>36</v>
      </c>
      <c r="G14" s="2" t="s">
        <v>36</v>
      </c>
      <c r="H14" s="10" t="str">
        <f t="shared" ca="1" si="0"/>
        <v>=NORM.S.DIST(-I10,TRUE)</v>
      </c>
      <c r="I14" s="13">
        <f>_xlfn.NORM.S.DIST(-I10,TRUE)</f>
        <v>0.82125161963362237</v>
      </c>
    </row>
    <row r="15" spans="1:9">
      <c r="A15" s="21"/>
      <c r="B15" s="21"/>
      <c r="C15" s="21"/>
      <c r="D15" s="21"/>
      <c r="E15" s="21"/>
      <c r="F15" s="2" t="s">
        <v>37</v>
      </c>
      <c r="G15" s="2" t="s">
        <v>38</v>
      </c>
      <c r="H15" s="10" t="str">
        <f t="shared" ca="1" si="0"/>
        <v>=C5*EXP((I7-C7)*I5)*I11-C6*EXP(-C7*I5)*I12</v>
      </c>
      <c r="I15" s="14">
        <f>C5*EXP((I7-C7)*I5)*I11-C6*EXP(-C7*I5)*I12</f>
        <v>0.48188555462727933</v>
      </c>
    </row>
    <row r="16" spans="1:9">
      <c r="A16" s="21"/>
      <c r="B16" s="21"/>
      <c r="C16" s="21"/>
      <c r="D16" s="21"/>
      <c r="E16" s="21"/>
      <c r="F16" s="2" t="s">
        <v>39</v>
      </c>
      <c r="G16" s="2" t="s">
        <v>40</v>
      </c>
      <c r="H16" s="10" t="str">
        <f t="shared" ca="1" si="0"/>
        <v>=C6*EXP(-C7*I5)*I14-C5*EXP((I7-C7)*I5)*I13</v>
      </c>
      <c r="I16" s="14">
        <f>C6*EXP(-C7*I5)*I14-C5*EXP((I7-C7)*I5)*I13</f>
        <v>4.6922213122453371</v>
      </c>
    </row>
    <row r="17" spans="1:9" ht="15.5">
      <c r="A17" s="21"/>
      <c r="B17" s="21"/>
      <c r="C17" s="21"/>
      <c r="D17" s="21"/>
      <c r="E17" s="21"/>
      <c r="F17" s="15" t="s">
        <v>41</v>
      </c>
      <c r="G17" s="15" t="s">
        <v>42</v>
      </c>
      <c r="H17" s="16"/>
      <c r="I17" s="17">
        <f>IF(LOWER(C11)="call",I15,I16)</f>
        <v>4.6922213122453371</v>
      </c>
    </row>
    <row r="18" spans="1:9">
      <c r="A18" s="21"/>
      <c r="B18" s="21"/>
      <c r="C18" s="21"/>
      <c r="D18" s="21"/>
      <c r="E18" s="21"/>
      <c r="F18" s="21"/>
      <c r="G18" s="21"/>
      <c r="H18" s="21"/>
      <c r="I18" s="21"/>
    </row>
    <row r="19" spans="1:9">
      <c r="A19" s="21"/>
      <c r="B19" s="21"/>
      <c r="C19" s="21"/>
      <c r="D19" s="21"/>
      <c r="E19" s="21"/>
      <c r="F19" s="21"/>
      <c r="G19" s="21"/>
      <c r="H19" s="21"/>
      <c r="I19" s="21"/>
    </row>
    <row r="20" spans="1:9">
      <c r="A20" s="34" t="s">
        <v>43</v>
      </c>
      <c r="B20" s="34"/>
      <c r="C20" s="34"/>
      <c r="D20" s="34"/>
      <c r="E20" s="34"/>
      <c r="F20" s="34"/>
      <c r="G20" s="34"/>
      <c r="H20" s="34"/>
      <c r="I20" s="34"/>
    </row>
    <row r="21" spans="1:9">
      <c r="A21" s="9" t="s">
        <v>44</v>
      </c>
      <c r="B21" s="35" t="s">
        <v>6</v>
      </c>
      <c r="C21" s="35"/>
      <c r="D21" s="35" t="s">
        <v>45</v>
      </c>
      <c r="E21" s="35"/>
      <c r="F21" s="35"/>
      <c r="G21" s="9" t="s">
        <v>46</v>
      </c>
      <c r="H21" s="35" t="s">
        <v>47</v>
      </c>
      <c r="I21" s="35"/>
    </row>
    <row r="22" spans="1:9">
      <c r="A22" s="18" t="s">
        <v>48</v>
      </c>
      <c r="B22" s="33" t="s">
        <v>49</v>
      </c>
      <c r="C22" s="33"/>
      <c r="D22" s="33" t="s">
        <v>50</v>
      </c>
      <c r="E22" s="33"/>
      <c r="F22" s="33"/>
      <c r="G22" s="18" t="s">
        <v>51</v>
      </c>
      <c r="H22" s="33" t="s">
        <v>52</v>
      </c>
      <c r="I22" s="33"/>
    </row>
    <row r="23" spans="1:9">
      <c r="A23" s="19" t="s">
        <v>53</v>
      </c>
      <c r="B23" s="31" t="s">
        <v>54</v>
      </c>
      <c r="C23" s="31"/>
      <c r="D23" s="31" t="s">
        <v>55</v>
      </c>
      <c r="E23" s="31"/>
      <c r="F23" s="31"/>
      <c r="G23" s="19" t="s">
        <v>56</v>
      </c>
      <c r="H23" s="31" t="s">
        <v>57</v>
      </c>
      <c r="I23" s="31"/>
    </row>
    <row r="24" spans="1:9">
      <c r="A24" s="19" t="s">
        <v>58</v>
      </c>
      <c r="B24" s="31" t="s">
        <v>59</v>
      </c>
      <c r="C24" s="31"/>
      <c r="D24" s="31" t="s">
        <v>60</v>
      </c>
      <c r="E24" s="31"/>
      <c r="F24" s="31"/>
      <c r="G24" s="19" t="s">
        <v>61</v>
      </c>
      <c r="H24" s="31" t="s">
        <v>62</v>
      </c>
      <c r="I24" s="31"/>
    </row>
    <row r="25" spans="1:9">
      <c r="A25" s="19" t="s">
        <v>63</v>
      </c>
      <c r="B25" s="31" t="s">
        <v>64</v>
      </c>
      <c r="C25" s="31"/>
      <c r="D25" s="31" t="s">
        <v>147</v>
      </c>
      <c r="E25" s="31"/>
      <c r="F25" s="31"/>
      <c r="G25" s="19" t="s">
        <v>65</v>
      </c>
      <c r="H25" s="31" t="s">
        <v>66</v>
      </c>
      <c r="I25" s="31"/>
    </row>
    <row r="26" spans="1:9">
      <c r="A26" s="20" t="s">
        <v>67</v>
      </c>
      <c r="B26" s="32" t="s">
        <v>68</v>
      </c>
      <c r="C26" s="32"/>
      <c r="D26" s="32" t="s">
        <v>143</v>
      </c>
      <c r="E26" s="32"/>
      <c r="F26" s="32"/>
      <c r="G26" s="20" t="s">
        <v>69</v>
      </c>
      <c r="H26" s="32" t="s">
        <v>70</v>
      </c>
      <c r="I26" s="32"/>
    </row>
    <row r="27" spans="1:9">
      <c r="A27" s="21"/>
      <c r="B27" s="21"/>
      <c r="C27" s="21"/>
      <c r="D27" s="21"/>
      <c r="E27" s="21"/>
      <c r="F27" s="21"/>
      <c r="G27" s="21"/>
      <c r="H27" s="21"/>
      <c r="I27" s="21"/>
    </row>
    <row r="28" spans="1:9">
      <c r="A28" s="21"/>
      <c r="B28" s="21"/>
      <c r="C28" s="21"/>
      <c r="D28" s="21"/>
      <c r="E28" s="21"/>
      <c r="F28" s="21"/>
      <c r="G28" s="21"/>
      <c r="H28" s="21"/>
      <c r="I28" s="21"/>
    </row>
    <row r="29" spans="1:9">
      <c r="A29" s="34" t="s">
        <v>71</v>
      </c>
      <c r="B29" s="34"/>
      <c r="C29" s="34"/>
      <c r="D29" s="34"/>
      <c r="E29" s="34"/>
      <c r="F29" s="34"/>
      <c r="G29" s="34"/>
      <c r="H29" s="34"/>
      <c r="I29" s="34"/>
    </row>
    <row r="30" spans="1:9">
      <c r="A30" s="35" t="s">
        <v>72</v>
      </c>
      <c r="B30" s="35"/>
      <c r="C30" s="35"/>
      <c r="D30" s="35" t="s">
        <v>73</v>
      </c>
      <c r="E30" s="35"/>
      <c r="F30" s="35"/>
      <c r="G30" s="35"/>
      <c r="H30" s="35"/>
      <c r="I30" s="35"/>
    </row>
    <row r="31" spans="1:9">
      <c r="A31" s="33" t="s">
        <v>74</v>
      </c>
      <c r="B31" s="33"/>
      <c r="C31" s="33"/>
      <c r="D31" s="33" t="s">
        <v>75</v>
      </c>
      <c r="E31" s="33"/>
      <c r="F31" s="33"/>
      <c r="G31" s="33"/>
      <c r="H31" s="33"/>
      <c r="I31" s="33"/>
    </row>
    <row r="32" spans="1:9">
      <c r="A32" s="31" t="s">
        <v>76</v>
      </c>
      <c r="B32" s="31"/>
      <c r="C32" s="31"/>
      <c r="D32" s="31" t="s">
        <v>77</v>
      </c>
      <c r="E32" s="31"/>
      <c r="F32" s="31"/>
      <c r="G32" s="31"/>
      <c r="H32" s="31"/>
      <c r="I32" s="31"/>
    </row>
    <row r="33" spans="1:9">
      <c r="A33" s="31" t="s">
        <v>78</v>
      </c>
      <c r="B33" s="31"/>
      <c r="C33" s="31"/>
      <c r="D33" s="31" t="s">
        <v>79</v>
      </c>
      <c r="E33" s="31"/>
      <c r="F33" s="31"/>
      <c r="G33" s="31"/>
      <c r="H33" s="31"/>
      <c r="I33" s="31"/>
    </row>
    <row r="34" spans="1:9">
      <c r="A34" s="31" t="s">
        <v>80</v>
      </c>
      <c r="B34" s="31"/>
      <c r="C34" s="31"/>
      <c r="D34" s="31" t="s">
        <v>81</v>
      </c>
      <c r="E34" s="31"/>
      <c r="F34" s="31"/>
      <c r="G34" s="31"/>
      <c r="H34" s="31"/>
      <c r="I34" s="31"/>
    </row>
    <row r="35" spans="1:9">
      <c r="A35" s="32" t="s">
        <v>82</v>
      </c>
      <c r="B35" s="32"/>
      <c r="C35" s="32"/>
      <c r="D35" s="32" t="s">
        <v>83</v>
      </c>
      <c r="E35" s="32"/>
      <c r="F35" s="32"/>
      <c r="G35" s="32"/>
      <c r="H35" s="32"/>
      <c r="I35" s="32"/>
    </row>
    <row r="36" spans="1:9">
      <c r="A36" s="21"/>
      <c r="B36" s="21"/>
      <c r="C36" s="21"/>
      <c r="D36" s="21"/>
      <c r="E36" s="21"/>
      <c r="F36" s="21"/>
      <c r="G36" s="21"/>
      <c r="H36" s="21"/>
      <c r="I36" s="21"/>
    </row>
    <row r="38" spans="1:9" ht="16.5">
      <c r="A38" s="28" t="s">
        <v>86</v>
      </c>
      <c r="B38" s="28"/>
      <c r="C38" s="28"/>
      <c r="D38" s="28"/>
      <c r="E38" s="28"/>
      <c r="F38" s="28"/>
      <c r="G38" s="28"/>
      <c r="H38" s="28"/>
      <c r="I38" s="28"/>
    </row>
    <row r="39" spans="1:9" ht="14.5">
      <c r="A39" s="30" t="s">
        <v>87</v>
      </c>
      <c r="B39" s="30"/>
      <c r="C39" s="30"/>
      <c r="D39" s="30"/>
      <c r="E39" s="30"/>
      <c r="F39" s="30"/>
      <c r="G39" s="30"/>
      <c r="H39" s="30"/>
      <c r="I39" s="30"/>
    </row>
    <row r="40" spans="1:9">
      <c r="A40" s="22"/>
      <c r="B40" s="22"/>
      <c r="C40" s="22"/>
      <c r="D40" s="22"/>
      <c r="E40" s="22"/>
      <c r="F40" s="22"/>
      <c r="G40" s="22"/>
      <c r="H40" s="22"/>
      <c r="I40" s="22"/>
    </row>
    <row r="41" spans="1:9" ht="16.5">
      <c r="A41" s="28" t="s">
        <v>120</v>
      </c>
      <c r="B41" s="28"/>
      <c r="C41" s="28"/>
      <c r="D41" s="28"/>
      <c r="E41" s="28"/>
      <c r="F41" s="28" t="s">
        <v>88</v>
      </c>
      <c r="G41" s="28"/>
      <c r="H41" s="28"/>
      <c r="I41" s="28"/>
    </row>
    <row r="42" spans="1:9">
      <c r="A42" s="27" t="s">
        <v>6</v>
      </c>
      <c r="B42" s="27" t="s">
        <v>4</v>
      </c>
      <c r="C42" s="27" t="s">
        <v>89</v>
      </c>
      <c r="D42" s="27" t="s">
        <v>5</v>
      </c>
      <c r="E42" s="27"/>
      <c r="F42" s="27" t="s">
        <v>6</v>
      </c>
      <c r="G42" s="27" t="s">
        <v>4</v>
      </c>
      <c r="H42" s="27" t="s">
        <v>89</v>
      </c>
      <c r="I42" s="27" t="s">
        <v>5</v>
      </c>
    </row>
    <row r="43" spans="1:9">
      <c r="A43" s="23" t="s">
        <v>10</v>
      </c>
      <c r="B43" s="23" t="s">
        <v>11</v>
      </c>
      <c r="C43" s="23" t="str">
        <f ca="1">_xlfn.FORMULATEXT(D43)</f>
        <v>=$C$10/12</v>
      </c>
      <c r="D43" s="24">
        <f>$C$10/12</f>
        <v>0.25</v>
      </c>
      <c r="E43" s="23" t="s">
        <v>90</v>
      </c>
      <c r="F43" s="23" t="s">
        <v>91</v>
      </c>
      <c r="G43" s="23" t="s">
        <v>26</v>
      </c>
      <c r="H43" s="23" t="s">
        <v>92</v>
      </c>
      <c r="I43" s="24">
        <f>(LN($C$5/$C$6)+($C$8+0.5*$C$9^2)*$I$5)/($C$9*SQRT($I$5))</f>
        <v>-0.35624621816434848</v>
      </c>
    </row>
    <row r="44" spans="1:9">
      <c r="A44" s="23" t="s">
        <v>93</v>
      </c>
      <c r="B44" s="23" t="s">
        <v>148</v>
      </c>
      <c r="C44" s="23" t="s">
        <v>138</v>
      </c>
      <c r="D44" s="24">
        <f>IF(ABS($C$8)&lt;0.000000000001,$C$5,$C$5*(EXP($C$8*D43)-1)/($C$8*D43))</f>
        <v>80.805360107023105</v>
      </c>
      <c r="E44" s="23" t="s">
        <v>94</v>
      </c>
      <c r="F44" s="23" t="s">
        <v>95</v>
      </c>
      <c r="G44" s="23" t="s">
        <v>29</v>
      </c>
      <c r="H44" s="23" t="str">
        <f ca="1">_xlfn.FORMULATEXT(I44)</f>
        <v>=I43-$C$9*SQRT($I$5)</v>
      </c>
      <c r="I44" s="24">
        <f>I43-$C$9*SQRT($I$5)</f>
        <v>-0.45624621816434852</v>
      </c>
    </row>
    <row r="45" spans="1:9" ht="28">
      <c r="A45" s="23" t="s">
        <v>96</v>
      </c>
      <c r="B45" s="23" t="s">
        <v>146</v>
      </c>
      <c r="C45" s="23" t="s">
        <v>141</v>
      </c>
      <c r="D45" s="24">
        <f>2*$C$5^2*EXP((2*$C$8+$C$9^2)*D43)/(($C$8+$C$9^2)*(2*$C$8+$C$9^2)*D43^2)+2*$C$5^2/($C$8*D43^2)*(1/(2*$C$8+$C$9^2)-EXP($C$8*D43)/($C$8+$C$9^2))</f>
        <v>6551.4351712856442</v>
      </c>
      <c r="E45" s="23" t="s">
        <v>97</v>
      </c>
      <c r="F45" s="23" t="s">
        <v>35</v>
      </c>
      <c r="G45" s="23" t="s">
        <v>35</v>
      </c>
      <c r="H45" s="23" t="str">
        <f t="shared" ref="H45:H46" ca="1" si="1">_xlfn.FORMULATEXT(I45)</f>
        <v>=NORM.S.DIST(-I43,TRUE)</v>
      </c>
      <c r="I45" s="24">
        <f>_xlfn.NORM.S.DIST(-I43,TRUE)</f>
        <v>0.63917190888047948</v>
      </c>
    </row>
    <row r="46" spans="1:9">
      <c r="A46" s="23" t="s">
        <v>98</v>
      </c>
      <c r="B46" s="23" t="s">
        <v>99</v>
      </c>
      <c r="C46" s="23" t="s">
        <v>142</v>
      </c>
      <c r="D46" s="24">
        <f>LN(D45/D44^2)/D43</f>
        <v>1.3411248712575756E-2</v>
      </c>
      <c r="E46" s="23" t="s">
        <v>100</v>
      </c>
      <c r="F46" s="23" t="s">
        <v>36</v>
      </c>
      <c r="G46" s="23" t="s">
        <v>36</v>
      </c>
      <c r="H46" s="23" t="str">
        <f t="shared" ca="1" si="1"/>
        <v>=NORM.S.DIST(-I44,TRUE)</v>
      </c>
      <c r="I46" s="24">
        <f>_xlfn.NORM.S.DIST(-I44,TRUE)</f>
        <v>0.67589353326412605</v>
      </c>
    </row>
    <row r="47" spans="1:9">
      <c r="A47" s="23" t="s">
        <v>85</v>
      </c>
      <c r="B47" s="23" t="s">
        <v>15</v>
      </c>
      <c r="C47" s="23" t="str">
        <f ca="1">_xlfn.FORMULATEXT(D47)</f>
        <v>=SQRT(D46)</v>
      </c>
      <c r="D47" s="24">
        <f>SQRT(D46)</f>
        <v>0.11580694587362088</v>
      </c>
      <c r="E47" s="23" t="s">
        <v>101</v>
      </c>
      <c r="F47" s="23" t="s">
        <v>102</v>
      </c>
      <c r="G47" s="23" t="s">
        <v>103</v>
      </c>
      <c r="H47" s="23" t="s">
        <v>149</v>
      </c>
      <c r="I47" s="24">
        <f>$C$5*EXP(($C$8-$C$7)*$I$5)*_xlfn.NORM.S.DIST(I43,TRUE)-$C$6*EXP(-$C$7*$I$5)*_xlfn.SINGLE(_xlfn.NORM.S.DIST(I44,TRUE))</f>
        <v>1.8767281595947907</v>
      </c>
    </row>
    <row r="48" spans="1:9">
      <c r="A48" s="23" t="s">
        <v>104</v>
      </c>
      <c r="B48" s="23" t="s">
        <v>26</v>
      </c>
      <c r="C48" s="23" t="s">
        <v>139</v>
      </c>
      <c r="D48" s="24">
        <f>(LN(D44/$C$6)+0.5*D46*D43)/(D47*SQRT(D43))</f>
        <v>-0.84505378752759186</v>
      </c>
      <c r="E48" s="23" t="s">
        <v>105</v>
      </c>
      <c r="F48" s="23" t="s">
        <v>106</v>
      </c>
      <c r="G48" s="23" t="s">
        <v>107</v>
      </c>
      <c r="H48" s="23" t="s">
        <v>150</v>
      </c>
      <c r="I48" s="25">
        <f>$C$6*EXP(-$C$7*$I$5)*I46-$C$5*EXP(($C$8-$C$7)*$I$5)*I45</f>
        <v>5.2185855660120097</v>
      </c>
    </row>
    <row r="49" spans="1:9">
      <c r="A49" s="23" t="s">
        <v>108</v>
      </c>
      <c r="B49" s="23" t="s">
        <v>29</v>
      </c>
      <c r="C49" s="23" t="str">
        <f ca="1">_xlfn.FORMULATEXT(D49)</f>
        <v>=D48-D47*SQRT(D43)</v>
      </c>
      <c r="D49" s="24">
        <f>D48-D47*SQRT(D43)</f>
        <v>-0.90295726046440228</v>
      </c>
      <c r="E49" s="23" t="s">
        <v>109</v>
      </c>
      <c r="F49" s="22"/>
      <c r="G49" s="22"/>
      <c r="H49" s="22"/>
      <c r="I49" s="22"/>
    </row>
    <row r="50" spans="1:9">
      <c r="A50" s="23" t="s">
        <v>35</v>
      </c>
      <c r="B50" s="23" t="s">
        <v>35</v>
      </c>
      <c r="C50" s="23" t="str">
        <f t="shared" ref="C50:C51" ca="1" si="2">_xlfn.FORMULATEXT(D50)</f>
        <v>=NORM.S.DIST(-D48,TRUE)</v>
      </c>
      <c r="D50" s="24">
        <f>_xlfn.NORM.S.DIST(-D48,TRUE)</f>
        <v>0.80095959575089559</v>
      </c>
      <c r="E50" s="23" t="s">
        <v>110</v>
      </c>
      <c r="F50" s="22"/>
      <c r="G50" s="22"/>
      <c r="H50" s="22"/>
      <c r="I50" s="22"/>
    </row>
    <row r="51" spans="1:9">
      <c r="A51" s="23" t="s">
        <v>36</v>
      </c>
      <c r="B51" s="23" t="s">
        <v>36</v>
      </c>
      <c r="C51" s="23" t="str">
        <f t="shared" ca="1" si="2"/>
        <v>=NORM.S.DIST(-D49,TRUE)</v>
      </c>
      <c r="D51" s="24">
        <f>_xlfn.NORM.S.DIST(-D49,TRUE)</f>
        <v>0.81672571066806765</v>
      </c>
      <c r="E51" s="23" t="s">
        <v>110</v>
      </c>
      <c r="F51" s="22"/>
      <c r="G51" s="22"/>
      <c r="H51" s="22"/>
      <c r="I51" s="22"/>
    </row>
    <row r="52" spans="1:9">
      <c r="A52" s="23" t="s">
        <v>111</v>
      </c>
      <c r="B52" s="23" t="s">
        <v>112</v>
      </c>
      <c r="C52" s="23" t="s">
        <v>140</v>
      </c>
      <c r="D52" s="25">
        <f>EXP(-$C$7*D43)*($C$6*D51-D44*D50)</f>
        <v>4.6414742816303978</v>
      </c>
      <c r="E52" s="23" t="s">
        <v>113</v>
      </c>
      <c r="F52" s="22"/>
      <c r="G52" s="22"/>
      <c r="H52" s="22"/>
      <c r="I52" s="22"/>
    </row>
    <row r="53" spans="1:9">
      <c r="A53" s="22"/>
      <c r="B53" s="22"/>
      <c r="C53" s="22"/>
      <c r="D53" s="22"/>
      <c r="E53" s="22"/>
      <c r="F53" s="22"/>
      <c r="G53" s="22"/>
      <c r="H53" s="22"/>
      <c r="I53" s="22"/>
    </row>
    <row r="54" spans="1:9">
      <c r="A54" s="22"/>
      <c r="B54" s="22"/>
      <c r="C54" s="22"/>
      <c r="D54" s="22"/>
      <c r="E54" s="22"/>
      <c r="F54" s="22"/>
      <c r="G54" s="22"/>
      <c r="H54" s="22"/>
      <c r="I54" s="22"/>
    </row>
    <row r="55" spans="1:9" ht="16.5">
      <c r="A55" s="28" t="s">
        <v>152</v>
      </c>
      <c r="B55" s="28"/>
      <c r="C55" s="28"/>
      <c r="D55" s="28"/>
      <c r="E55" s="28"/>
      <c r="F55" s="28"/>
      <c r="G55" s="28"/>
      <c r="H55" s="28"/>
      <c r="I55" s="28"/>
    </row>
    <row r="56" spans="1:9">
      <c r="A56" s="27" t="s">
        <v>114</v>
      </c>
      <c r="B56" s="27" t="s">
        <v>115</v>
      </c>
      <c r="C56" s="27" t="s">
        <v>116</v>
      </c>
      <c r="D56" s="27" t="s">
        <v>117</v>
      </c>
      <c r="E56" s="27" t="s">
        <v>118</v>
      </c>
      <c r="F56" s="22"/>
      <c r="G56" s="27" t="s">
        <v>119</v>
      </c>
      <c r="H56" s="27" t="s">
        <v>84</v>
      </c>
      <c r="I56" s="27" t="s">
        <v>5</v>
      </c>
    </row>
    <row r="57" spans="1:9" ht="42">
      <c r="A57" s="23" t="s">
        <v>120</v>
      </c>
      <c r="B57" s="26">
        <f>D52</f>
        <v>4.6414742816303978</v>
      </c>
      <c r="C57" s="23" t="s">
        <v>121</v>
      </c>
      <c r="D57" s="23" t="s">
        <v>122</v>
      </c>
      <c r="E57" s="23" t="s">
        <v>123</v>
      </c>
      <c r="F57" s="22"/>
      <c r="G57" s="23" t="s">
        <v>112</v>
      </c>
      <c r="H57" s="23" t="s">
        <v>151</v>
      </c>
      <c r="I57" s="26">
        <f>B57</f>
        <v>4.6414742816303978</v>
      </c>
    </row>
    <row r="58" spans="1:9" ht="28">
      <c r="A58" s="23" t="s">
        <v>124</v>
      </c>
      <c r="B58" s="26">
        <f>$I$16</f>
        <v>4.6922213122453371</v>
      </c>
      <c r="C58" s="23" t="s">
        <v>69</v>
      </c>
      <c r="D58" s="23" t="s">
        <v>125</v>
      </c>
      <c r="E58" s="23" t="s">
        <v>126</v>
      </c>
      <c r="F58" s="22"/>
      <c r="G58" s="23" t="s">
        <v>127</v>
      </c>
      <c r="H58" s="23" t="s">
        <v>145</v>
      </c>
      <c r="I58" s="26">
        <f>B58</f>
        <v>4.6922213122453371</v>
      </c>
    </row>
    <row r="59" spans="1:9" ht="28">
      <c r="A59" s="23" t="s">
        <v>106</v>
      </c>
      <c r="B59" s="26">
        <f>I48</f>
        <v>5.2185855660120097</v>
      </c>
      <c r="C59" s="23" t="s">
        <v>128</v>
      </c>
      <c r="D59" s="23" t="s">
        <v>129</v>
      </c>
      <c r="E59" s="23" t="s">
        <v>130</v>
      </c>
      <c r="F59" s="22"/>
      <c r="G59" s="23" t="s">
        <v>131</v>
      </c>
      <c r="H59" s="23" t="s">
        <v>144</v>
      </c>
      <c r="I59" s="26">
        <f>B59</f>
        <v>5.2185855660120097</v>
      </c>
    </row>
    <row r="60" spans="1:9" ht="42" customHeight="1">
      <c r="A60" s="23" t="s">
        <v>132</v>
      </c>
      <c r="B60" s="41" t="str">
        <f>IF(AND(B57&lt;B58,B58&lt;B59),"Sí se cumple: P_arit &lt; P_geom &lt; P_vanilla","No se cumple con estos datos")</f>
        <v>Sí se cumple: P_arit &lt; P_geom &lt; P_vanilla</v>
      </c>
      <c r="C60" s="41"/>
      <c r="D60" s="23" t="s">
        <v>133</v>
      </c>
      <c r="E60" s="23" t="str">
        <f>"Relación numérica: "&amp;TEXT(B57,"0.0000")&amp;" &lt; "&amp;TEXT(B58,"0.0000")&amp;" &lt; "&amp;TEXT(B59,"0.0000")</f>
        <v>Relación numérica: 4.6415 &lt; 4.6922 &lt; 5.2186</v>
      </c>
      <c r="F60" s="22"/>
      <c r="G60" s="23" t="s">
        <v>134</v>
      </c>
      <c r="H60" s="42" t="str">
        <f>B60</f>
        <v>Sí se cumple: P_arit &lt; P_geom &lt; P_vanilla</v>
      </c>
      <c r="I60" s="42"/>
    </row>
    <row r="61" spans="1:9">
      <c r="A61" s="22"/>
      <c r="B61" s="22"/>
      <c r="C61" s="22"/>
      <c r="D61" s="22"/>
      <c r="E61" s="22"/>
      <c r="F61" s="22"/>
      <c r="G61" s="22"/>
      <c r="H61" s="22"/>
      <c r="I61" s="22"/>
    </row>
    <row r="62" spans="1:9">
      <c r="A62" s="29" t="s">
        <v>153</v>
      </c>
      <c r="B62" s="29"/>
      <c r="C62" s="29"/>
      <c r="D62" s="29"/>
      <c r="E62" s="29"/>
      <c r="F62" s="29"/>
      <c r="G62" s="29"/>
      <c r="H62" s="29"/>
      <c r="I62" s="29"/>
    </row>
    <row r="63" spans="1:9">
      <c r="A63" s="29" t="s">
        <v>135</v>
      </c>
      <c r="B63" s="29"/>
      <c r="C63" s="29"/>
      <c r="D63" s="29"/>
      <c r="E63" s="29"/>
      <c r="F63" s="29"/>
      <c r="G63" s="29"/>
      <c r="H63" s="29"/>
      <c r="I63" s="29"/>
    </row>
    <row r="64" spans="1:9">
      <c r="A64" s="29" t="s">
        <v>136</v>
      </c>
      <c r="B64" s="29"/>
      <c r="C64" s="29"/>
      <c r="D64" s="29"/>
      <c r="E64" s="29"/>
      <c r="F64" s="29"/>
      <c r="G64" s="29"/>
      <c r="H64" s="29"/>
      <c r="I64" s="29"/>
    </row>
    <row r="65" spans="1:9">
      <c r="A65" s="29" t="s">
        <v>137</v>
      </c>
      <c r="B65" s="29"/>
      <c r="C65" s="29"/>
      <c r="D65" s="29"/>
      <c r="E65" s="29"/>
      <c r="F65" s="29"/>
      <c r="G65" s="29"/>
      <c r="H65" s="29"/>
      <c r="I65" s="29"/>
    </row>
  </sheetData>
  <mergeCells count="46">
    <mergeCell ref="B60:C60"/>
    <mergeCell ref="H60:I60"/>
    <mergeCell ref="A1:I1"/>
    <mergeCell ref="A3:D3"/>
    <mergeCell ref="F3:I3"/>
    <mergeCell ref="A20:I20"/>
    <mergeCell ref="B21:C21"/>
    <mergeCell ref="D21:F21"/>
    <mergeCell ref="H21:I21"/>
    <mergeCell ref="B22:C22"/>
    <mergeCell ref="D22:F22"/>
    <mergeCell ref="H22:I22"/>
    <mergeCell ref="B23:C23"/>
    <mergeCell ref="D23:F23"/>
    <mergeCell ref="H23:I23"/>
    <mergeCell ref="B24:C24"/>
    <mergeCell ref="D24:F24"/>
    <mergeCell ref="H24:I24"/>
    <mergeCell ref="B25:C25"/>
    <mergeCell ref="D25:F25"/>
    <mergeCell ref="H25:I25"/>
    <mergeCell ref="B26:C26"/>
    <mergeCell ref="D26:F26"/>
    <mergeCell ref="H26:I26"/>
    <mergeCell ref="A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8:I38"/>
    <mergeCell ref="A39:I39"/>
    <mergeCell ref="A41:E41"/>
    <mergeCell ref="F41:I41"/>
    <mergeCell ref="A55:I55"/>
    <mergeCell ref="A62:I62"/>
    <mergeCell ref="A63:I63"/>
    <mergeCell ref="A64:I64"/>
    <mergeCell ref="A65:I65"/>
  </mergeCells>
  <dataValidations count="1">
    <dataValidation type="list" sqref="C11" xr:uid="{00000000-0002-0000-0000-000000000000}">
      <formula1>"call,put"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Geometrico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Heriberto Espino Montelongo</cp:lastModifiedBy>
  <dcterms:modified xsi:type="dcterms:W3CDTF">2026-05-15T14:18:45Z</dcterms:modified>
</cp:coreProperties>
</file>